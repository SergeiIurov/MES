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E:\Info\test\"/>
    </mc:Choice>
  </mc:AlternateContent>
  <xr:revisionPtr revIDLastSave="0" documentId="13_ncr:1_{72C074F5-594A-4492-834C-04CB73DAB322}" xr6:coauthVersionLast="47" xr6:coauthVersionMax="47" xr10:uidLastSave="{00000000-0000-0000-0000-000000000000}"/>
  <bookViews>
    <workbookView xWindow="2490" yWindow="645" windowWidth="24525" windowHeight="11295" firstSheet="2" activeTab="2" xr2:uid="{00000000-000D-0000-FFFF-FFFF00000000}"/>
  </bookViews>
  <sheets>
    <sheet name="KOMA board" sheetId="1" state="hidden" r:id="rId1"/>
    <sheet name="Данные" sheetId="2" state="hidden" r:id="rId2"/>
    <sheet name="ДКП БАЗ" sheetId="3" r:id="rId3"/>
    <sheet name="ДКП БАЗ (Временное расположени)" sheetId="5" r:id="rId4"/>
    <sheet name="Машины на заводе" sheetId="6" r:id="rId5"/>
  </sheets>
  <definedNames>
    <definedName name="_xlnm.Print_Area" localSheetId="0">'KOMA board'!$F$1:$AE$24</definedName>
    <definedName name="_xlnm.Print_Area" localSheetId="2">'ДКП БАЗ'!$P$1:$BZ$33</definedName>
    <definedName name="_xlnm.Print_Area" localSheetId="3">'ДКП БАЗ (Временное расположени)'!$J$1:$BN$34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7" i="3" l="1"/>
  <c r="AB7" i="3"/>
  <c r="Z7" i="3"/>
  <c r="W7" i="3"/>
  <c r="T7" i="3"/>
  <c r="Q7" i="3"/>
  <c r="AD6" i="3"/>
  <c r="AB6" i="3"/>
  <c r="Z6" i="3"/>
  <c r="W6" i="3"/>
  <c r="T6" i="3"/>
  <c r="Q6" i="3"/>
  <c r="AD5" i="3"/>
  <c r="AB5" i="3"/>
  <c r="Z5" i="3"/>
  <c r="W5" i="3"/>
  <c r="T5" i="3"/>
  <c r="Q5" i="3"/>
  <c r="AD4" i="3"/>
  <c r="AB4" i="3"/>
  <c r="Z4" i="3"/>
  <c r="T4" i="3"/>
  <c r="Q4" i="3"/>
  <c r="AD3" i="3"/>
  <c r="AB3" i="3"/>
  <c r="Z3" i="3"/>
  <c r="W3" i="3"/>
  <c r="T3" i="3"/>
  <c r="Q3" i="3"/>
  <c r="F37" i="3" l="1" a="1"/>
  <c r="F37" i="3" s="1"/>
  <c r="G37" i="3" a="1"/>
  <c r="G37" i="3" s="1"/>
  <c r="H37" i="3" a="1"/>
  <c r="H37" i="3"/>
  <c r="I37" i="3" a="1"/>
  <c r="I37" i="3" s="1"/>
  <c r="J37" i="3" a="1"/>
  <c r="J37" i="3" s="1"/>
  <c r="H13" i="3" a="1"/>
  <c r="H13" i="3" s="1"/>
  <c r="H33" i="3" a="1"/>
  <c r="H33" i="3" s="1"/>
  <c r="H34" i="3" a="1"/>
  <c r="H34" i="3" s="1"/>
  <c r="H35" i="3" a="1"/>
  <c r="H35" i="3" s="1"/>
  <c r="H36" i="3" a="1"/>
  <c r="H36" i="3" s="1"/>
  <c r="G61" i="3" a="1"/>
  <c r="H43" i="3" a="1"/>
  <c r="F63" i="3" a="1"/>
  <c r="I51" i="3" a="1"/>
  <c r="F66" i="3" a="1"/>
  <c r="I42" i="3" a="1"/>
  <c r="G63" i="3" a="1"/>
  <c r="G43" i="3" a="1"/>
  <c r="I43" i="3" a="1"/>
  <c r="G48" i="3" a="1"/>
  <c r="F49" i="3" a="1"/>
  <c r="H65" i="3" a="1"/>
  <c r="G66" i="3" a="1"/>
  <c r="H46" i="3" a="1"/>
  <c r="I65" i="3" a="1"/>
  <c r="G44" i="3" a="1"/>
  <c r="H63" i="3" a="1"/>
  <c r="I59" i="3" a="1"/>
  <c r="I44" i="3" a="1"/>
  <c r="I63" i="3" a="1"/>
  <c r="F46" i="3" a="1"/>
  <c r="I45" i="3" a="1"/>
  <c r="I58" i="3" a="1"/>
  <c r="H58" i="3" a="1"/>
  <c r="G50" i="3" a="1"/>
  <c r="F50" i="3" a="1"/>
  <c r="H64" i="3" a="1"/>
  <c r="G64" i="3" a="1"/>
  <c r="H61" i="3" a="1"/>
  <c r="F42" i="3" a="1"/>
  <c r="H57" i="3" a="1"/>
  <c r="G45" i="3" a="1"/>
  <c r="G59" i="3" a="1"/>
  <c r="F44" i="3" a="1"/>
  <c r="F62" i="3" a="1"/>
  <c r="G62" i="3" a="1"/>
  <c r="F51" i="3" a="1"/>
  <c r="H49" i="3" a="1"/>
  <c r="H66" i="3" a="1"/>
  <c r="I64" i="3" a="1"/>
  <c r="H60" i="3" a="1"/>
  <c r="F60" i="3" a="1"/>
  <c r="I61" i="3" a="1"/>
  <c r="H62" i="3" a="1"/>
  <c r="H44" i="3" a="1"/>
  <c r="F43" i="3" a="1"/>
  <c r="H59" i="3" a="1"/>
  <c r="G65" i="3" a="1"/>
  <c r="H45" i="3" a="1"/>
  <c r="I60" i="3" a="1"/>
  <c r="F59" i="3" a="1"/>
  <c r="F47" i="3" a="1"/>
  <c r="G42" i="3" a="1"/>
  <c r="H50" i="3" a="1"/>
  <c r="I49" i="3" a="1"/>
  <c r="H51" i="3" a="1"/>
  <c r="F48" i="3" a="1"/>
  <c r="G58" i="3" a="1"/>
  <c r="G46" i="3" a="1"/>
  <c r="G57" i="3" a="1"/>
  <c r="H47" i="3" a="1"/>
  <c r="I47" i="3" a="1"/>
  <c r="F65" i="3" a="1"/>
  <c r="F45" i="3" a="1"/>
  <c r="G49" i="3" a="1"/>
  <c r="I50" i="3" a="1"/>
  <c r="I46" i="3" a="1"/>
  <c r="F58" i="3" a="1"/>
  <c r="G51" i="3" a="1"/>
  <c r="F57" i="3" a="1"/>
  <c r="I66" i="3" a="1"/>
  <c r="H48" i="3" a="1"/>
  <c r="I57" i="3" a="1"/>
  <c r="F64" i="3" a="1"/>
  <c r="F61" i="3" a="1"/>
  <c r="I48" i="3" a="1"/>
  <c r="G47" i="3" a="1"/>
  <c r="H42" i="3" a="1"/>
  <c r="I62" i="3" a="1"/>
  <c r="G60" i="3" a="1"/>
  <c r="H65" i="3" l="1"/>
  <c r="H64" i="3"/>
  <c r="H63" i="3"/>
  <c r="H62" i="3"/>
  <c r="H61" i="3"/>
  <c r="H60" i="3"/>
  <c r="H59" i="3"/>
  <c r="H66" i="3"/>
  <c r="H58" i="3"/>
  <c r="H57" i="3"/>
  <c r="G65" i="3"/>
  <c r="G64" i="3"/>
  <c r="G63" i="3"/>
  <c r="G62" i="3"/>
  <c r="G61" i="3"/>
  <c r="G60" i="3"/>
  <c r="G59" i="3"/>
  <c r="G66" i="3"/>
  <c r="G58" i="3"/>
  <c r="G57" i="3"/>
  <c r="F61" i="3"/>
  <c r="F58" i="3"/>
  <c r="F64" i="3"/>
  <c r="F60" i="3"/>
  <c r="F66" i="3"/>
  <c r="F65" i="3"/>
  <c r="F63" i="3"/>
  <c r="F62" i="3"/>
  <c r="F59" i="3"/>
  <c r="F57" i="3"/>
  <c r="I66" i="3"/>
  <c r="I64" i="3"/>
  <c r="I62" i="3"/>
  <c r="I59" i="3"/>
  <c r="I65" i="3"/>
  <c r="I63" i="3"/>
  <c r="I61" i="3"/>
  <c r="I60" i="3"/>
  <c r="I58" i="3"/>
  <c r="I57" i="3"/>
  <c r="I47" i="3"/>
  <c r="I46" i="3"/>
  <c r="I50" i="3"/>
  <c r="I49" i="3"/>
  <c r="I48" i="3"/>
  <c r="I45" i="3"/>
  <c r="I44" i="3"/>
  <c r="I51" i="3"/>
  <c r="I43" i="3"/>
  <c r="I42" i="3"/>
  <c r="G51" i="3"/>
  <c r="G45" i="3"/>
  <c r="G44" i="3"/>
  <c r="G43" i="3"/>
  <c r="G50" i="3"/>
  <c r="G49" i="3"/>
  <c r="G48" i="3"/>
  <c r="G47" i="3"/>
  <c r="G46" i="3"/>
  <c r="G42" i="3"/>
  <c r="F42" i="3"/>
  <c r="F44" i="3"/>
  <c r="F51" i="3"/>
  <c r="F43" i="3"/>
  <c r="F50" i="3"/>
  <c r="F49" i="3"/>
  <c r="F48" i="3"/>
  <c r="F47" i="3"/>
  <c r="F46" i="3"/>
  <c r="F45" i="3"/>
  <c r="H50" i="3"/>
  <c r="H49" i="3"/>
  <c r="H48" i="3"/>
  <c r="H47" i="3"/>
  <c r="H46" i="3"/>
  <c r="H45" i="3"/>
  <c r="H44" i="3"/>
  <c r="H51" i="3"/>
  <c r="H43" i="3"/>
  <c r="H42" i="3"/>
  <c r="AB15" i="3"/>
  <c r="AF15" i="3"/>
  <c r="BD11" i="3"/>
  <c r="AZ11" i="3"/>
  <c r="AV11" i="3"/>
  <c r="AR11" i="3"/>
  <c r="AN11" i="3"/>
  <c r="AJ11" i="3"/>
  <c r="AF11" i="3"/>
  <c r="AB11" i="3"/>
  <c r="AB17" i="3"/>
  <c r="AF17" i="3"/>
  <c r="AJ17" i="3"/>
  <c r="AN17" i="3"/>
  <c r="AR17" i="3"/>
  <c r="AV17" i="3"/>
  <c r="AZ17" i="3"/>
  <c r="BD17" i="3"/>
  <c r="AV14" i="3"/>
  <c r="AZ14" i="3"/>
  <c r="BB14" i="3"/>
  <c r="BH24" i="3"/>
  <c r="BF24" i="3"/>
  <c r="BD24" i="3"/>
  <c r="BB24" i="3"/>
  <c r="AZ24" i="3"/>
  <c r="AX24" i="3"/>
  <c r="AV24" i="3"/>
  <c r="AT24" i="3"/>
  <c r="AR24" i="3"/>
  <c r="AP24" i="3"/>
  <c r="AN23" i="3"/>
  <c r="AN25" i="3"/>
  <c r="AL25" i="3"/>
  <c r="AL23" i="3"/>
  <c r="AH25" i="3"/>
  <c r="AH23" i="3"/>
  <c r="AF23" i="3"/>
  <c r="AF25" i="3"/>
  <c r="AD24" i="3"/>
  <c r="AB24" i="3"/>
  <c r="Z24" i="3"/>
  <c r="W24" i="3"/>
  <c r="T24" i="3"/>
  <c r="Q26" i="3"/>
  <c r="Q28" i="3"/>
  <c r="T30" i="3"/>
  <c r="Z30" i="3"/>
  <c r="AB30" i="3"/>
  <c r="AF30" i="3"/>
  <c r="AH30" i="3"/>
  <c r="BX30" i="3"/>
  <c r="BU30" i="3"/>
  <c r="BR30" i="3"/>
  <c r="BR28" i="3"/>
  <c r="BR26" i="3"/>
  <c r="BR24" i="3"/>
  <c r="BU15" i="3"/>
  <c r="BU11" i="3"/>
  <c r="BO13" i="3"/>
  <c r="BX3" i="3"/>
  <c r="BU3" i="3"/>
  <c r="BR3" i="3"/>
  <c r="BO3" i="3"/>
  <c r="BL3" i="3"/>
  <c r="BI15" i="3"/>
  <c r="BI3" i="3"/>
  <c r="W19" i="3"/>
  <c r="W13" i="3"/>
  <c r="T19" i="3"/>
  <c r="F5" i="3" a="1"/>
  <c r="F5" i="3" s="1"/>
  <c r="I23" i="3" a="1"/>
  <c r="I23" i="3" s="1"/>
  <c r="I24" i="3" a="1"/>
  <c r="I24" i="3" s="1"/>
  <c r="I25" i="3" a="1"/>
  <c r="I25" i="3" s="1"/>
  <c r="I26" i="3" a="1"/>
  <c r="I26" i="3" s="1"/>
  <c r="I27" i="3" a="1"/>
  <c r="I27" i="3" s="1"/>
  <c r="I28" i="3" a="1"/>
  <c r="I28" i="3" s="1"/>
  <c r="I29" i="3" a="1"/>
  <c r="I29" i="3" s="1"/>
  <c r="I30" i="3" a="1"/>
  <c r="I30" i="3" s="1"/>
  <c r="I31" i="3" a="1"/>
  <c r="I31" i="3" s="1"/>
  <c r="I32" i="3" a="1"/>
  <c r="I32" i="3" s="1"/>
  <c r="I33" i="3" a="1"/>
  <c r="I33" i="3" s="1"/>
  <c r="I34" i="3" a="1"/>
  <c r="I34" i="3" s="1"/>
  <c r="I35" i="3" a="1"/>
  <c r="I35" i="3" s="1"/>
  <c r="I36" i="3" a="1"/>
  <c r="I36" i="3" s="1"/>
  <c r="D48" i="3"/>
  <c r="AZ18" i="3" s="1"/>
  <c r="D49" i="3"/>
  <c r="AV18" i="3" s="1"/>
  <c r="D50" i="3"/>
  <c r="AR18" i="3" s="1"/>
  <c r="D51" i="3"/>
  <c r="AN18" i="3" s="1"/>
  <c r="D52" i="3"/>
  <c r="AJ18" i="3" s="1"/>
  <c r="D53" i="3"/>
  <c r="AF18" i="3" s="1"/>
  <c r="D54" i="3"/>
  <c r="AB18" i="3" s="1"/>
  <c r="D55" i="3"/>
  <c r="X19" i="3" s="1"/>
  <c r="D56" i="3"/>
  <c r="U19" i="3" s="1"/>
  <c r="D57" i="3"/>
  <c r="R19" i="3" s="1"/>
  <c r="D58" i="3"/>
  <c r="X13" i="3" s="1"/>
  <c r="D59" i="3"/>
  <c r="AB12" i="3" s="1"/>
  <c r="D60" i="3"/>
  <c r="AF12" i="3" s="1"/>
  <c r="D61" i="3"/>
  <c r="AJ12" i="3" s="1"/>
  <c r="D62" i="3"/>
  <c r="AN12" i="3" s="1"/>
  <c r="D63" i="3"/>
  <c r="AR12" i="3" s="1"/>
  <c r="D64" i="3"/>
  <c r="AV12" i="3" s="1"/>
  <c r="D65" i="3"/>
  <c r="AZ12" i="3" s="1"/>
  <c r="D66" i="3"/>
  <c r="BD12" i="3" s="1"/>
  <c r="D67" i="3"/>
  <c r="D68" i="3"/>
  <c r="D69" i="3"/>
  <c r="BJ15" i="3" s="1"/>
  <c r="D70" i="3"/>
  <c r="BV15" i="3" s="1"/>
  <c r="D71" i="3"/>
  <c r="BV11" i="3" s="1"/>
  <c r="D72" i="3"/>
  <c r="BP13" i="3" s="1"/>
  <c r="D73" i="3"/>
  <c r="BJ3" i="3" s="1"/>
  <c r="D74" i="3"/>
  <c r="BM3" i="3" s="1"/>
  <c r="D75" i="3"/>
  <c r="BP3" i="3" s="1"/>
  <c r="D76" i="3"/>
  <c r="BS3" i="3" s="1"/>
  <c r="D77" i="3"/>
  <c r="BV3" i="3" s="1"/>
  <c r="D78" i="3"/>
  <c r="BY3" i="3" s="1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47" i="3"/>
  <c r="BD18" i="3" s="1"/>
  <c r="D3" i="3"/>
  <c r="BU31" i="3" s="1"/>
  <c r="D4" i="3"/>
  <c r="BR31" i="3" s="1"/>
  <c r="D5" i="3"/>
  <c r="BR29" i="3" s="1"/>
  <c r="D6" i="3"/>
  <c r="BR27" i="3" s="1"/>
  <c r="D7" i="3"/>
  <c r="BR25" i="3" s="1"/>
  <c r="D8" i="3"/>
  <c r="AV31" i="3" s="1"/>
  <c r="D9" i="3"/>
  <c r="AR31" i="3" s="1"/>
  <c r="D10" i="3"/>
  <c r="AN31" i="3" s="1"/>
  <c r="D11" i="3"/>
  <c r="AL31" i="3" s="1"/>
  <c r="D12" i="3"/>
  <c r="AH31" i="3" s="1"/>
  <c r="D13" i="3"/>
  <c r="AF31" i="3" s="1"/>
  <c r="D14" i="3"/>
  <c r="AB31" i="3" s="1"/>
  <c r="D15" i="3"/>
  <c r="Z31" i="3" s="1"/>
  <c r="D16" i="3"/>
  <c r="T31" i="3" s="1"/>
  <c r="D17" i="3"/>
  <c r="Q29" i="3" s="1"/>
  <c r="D18" i="3"/>
  <c r="Q27" i="3" s="1"/>
  <c r="D19" i="3"/>
  <c r="T25" i="3" s="1"/>
  <c r="D20" i="3"/>
  <c r="W25" i="3" s="1"/>
  <c r="D21" i="3"/>
  <c r="Z25" i="3" s="1"/>
  <c r="D22" i="3"/>
  <c r="AB25" i="3" s="1"/>
  <c r="D23" i="3"/>
  <c r="AD25" i="3" s="1"/>
  <c r="D24" i="3"/>
  <c r="AF26" i="3" s="1"/>
  <c r="D25" i="3"/>
  <c r="AF24" i="3" s="1"/>
  <c r="D26" i="3"/>
  <c r="AH24" i="3" s="1"/>
  <c r="D27" i="3"/>
  <c r="AH26" i="3" s="1"/>
  <c r="D28" i="3"/>
  <c r="AJ26" i="3" s="1"/>
  <c r="D29" i="3"/>
  <c r="AJ24" i="3" s="1"/>
  <c r="D30" i="3"/>
  <c r="AL24" i="3" s="1"/>
  <c r="D31" i="3"/>
  <c r="AL26" i="3" s="1"/>
  <c r="D32" i="3"/>
  <c r="AN26" i="3" s="1"/>
  <c r="D33" i="3"/>
  <c r="AN24" i="3" s="1"/>
  <c r="D34" i="3"/>
  <c r="AP25" i="3" s="1"/>
  <c r="D35" i="3"/>
  <c r="AR25" i="3" s="1"/>
  <c r="D36" i="3"/>
  <c r="AT25" i="3" s="1"/>
  <c r="D37" i="3"/>
  <c r="AV25" i="3" s="1"/>
  <c r="D38" i="3"/>
  <c r="AX25" i="3" s="1"/>
  <c r="D39" i="3"/>
  <c r="AZ25" i="3" s="1"/>
  <c r="D40" i="3"/>
  <c r="BB25" i="3" s="1"/>
  <c r="D41" i="3"/>
  <c r="BD25" i="3" s="1"/>
  <c r="D42" i="3"/>
  <c r="BF25" i="3" s="1"/>
  <c r="D43" i="3"/>
  <c r="BH25" i="3" s="1"/>
  <c r="D46" i="3"/>
  <c r="AV15" i="3" s="1"/>
  <c r="D44" i="3"/>
  <c r="BB15" i="3" s="1"/>
  <c r="D45" i="3"/>
  <c r="AZ15" i="3" s="1"/>
  <c r="D2" i="3"/>
  <c r="BX31" i="3" s="1"/>
  <c r="G4" i="3" l="1" a="1"/>
  <c r="G4" i="3" s="1"/>
  <c r="H4" i="3" a="1"/>
  <c r="H4" i="3" s="1"/>
  <c r="I4" i="3" a="1"/>
  <c r="I4" i="3" s="1"/>
  <c r="J4" i="3" a="1"/>
  <c r="J4" i="3" s="1"/>
  <c r="G5" i="3" a="1"/>
  <c r="G5" i="3" s="1"/>
  <c r="H5" i="3" a="1"/>
  <c r="H5" i="3" s="1"/>
  <c r="I5" i="3" a="1"/>
  <c r="I5" i="3" s="1"/>
  <c r="J5" i="3" a="1"/>
  <c r="J5" i="3" s="1"/>
  <c r="G6" i="3" a="1"/>
  <c r="G6" i="3" s="1"/>
  <c r="H6" i="3" a="1"/>
  <c r="H6" i="3" s="1"/>
  <c r="I6" i="3" a="1"/>
  <c r="I6" i="3" s="1"/>
  <c r="J6" i="3" a="1"/>
  <c r="J6" i="3" s="1"/>
  <c r="G7" i="3" a="1"/>
  <c r="G7" i="3" s="1"/>
  <c r="H7" i="3" a="1"/>
  <c r="H7" i="3" s="1"/>
  <c r="I7" i="3" a="1"/>
  <c r="I7" i="3" s="1"/>
  <c r="J7" i="3" a="1"/>
  <c r="J7" i="3" s="1"/>
  <c r="G8" i="3" a="1"/>
  <c r="G8" i="3" s="1"/>
  <c r="H8" i="3" a="1"/>
  <c r="H8" i="3" s="1"/>
  <c r="I8" i="3" a="1"/>
  <c r="I8" i="3" s="1"/>
  <c r="J8" i="3" a="1"/>
  <c r="J8" i="3" s="1"/>
  <c r="G9" i="3" a="1"/>
  <c r="G9" i="3" s="1"/>
  <c r="H9" i="3" a="1"/>
  <c r="H9" i="3" s="1"/>
  <c r="I9" i="3" a="1"/>
  <c r="I9" i="3" s="1"/>
  <c r="J9" i="3" a="1"/>
  <c r="J9" i="3" s="1"/>
  <c r="G10" i="3" a="1"/>
  <c r="G10" i="3" s="1"/>
  <c r="H10" i="3" a="1"/>
  <c r="H10" i="3" s="1"/>
  <c r="I10" i="3" a="1"/>
  <c r="I10" i="3" s="1"/>
  <c r="J10" i="3" a="1"/>
  <c r="J10" i="3" s="1"/>
  <c r="G11" i="3" a="1"/>
  <c r="G11" i="3" s="1"/>
  <c r="H11" i="3" a="1"/>
  <c r="H11" i="3" s="1"/>
  <c r="I11" i="3" a="1"/>
  <c r="I11" i="3" s="1"/>
  <c r="J11" i="3" a="1"/>
  <c r="J11" i="3" s="1"/>
  <c r="G12" i="3" a="1"/>
  <c r="G12" i="3" s="1"/>
  <c r="H12" i="3" a="1"/>
  <c r="H12" i="3" s="1"/>
  <c r="I12" i="3" a="1"/>
  <c r="I12" i="3" s="1"/>
  <c r="J12" i="3" a="1"/>
  <c r="J12" i="3" s="1"/>
  <c r="G13" i="3" a="1"/>
  <c r="G13" i="3" s="1"/>
  <c r="I13" i="3" a="1"/>
  <c r="I13" i="3" s="1"/>
  <c r="J13" i="3" a="1"/>
  <c r="J13" i="3" s="1"/>
  <c r="G14" i="3" a="1"/>
  <c r="G14" i="3" s="1"/>
  <c r="H14" i="3" a="1"/>
  <c r="H14" i="3" s="1"/>
  <c r="I14" i="3" a="1"/>
  <c r="I14" i="3" s="1"/>
  <c r="J14" i="3" a="1"/>
  <c r="J14" i="3" s="1"/>
  <c r="G15" i="3" a="1"/>
  <c r="G15" i="3" s="1"/>
  <c r="H15" i="3" a="1"/>
  <c r="H15" i="3" s="1"/>
  <c r="I15" i="3" a="1"/>
  <c r="I15" i="3" s="1"/>
  <c r="J15" i="3" a="1"/>
  <c r="J15" i="3" s="1"/>
  <c r="G16" i="3" a="1"/>
  <c r="G16" i="3" s="1"/>
  <c r="H16" i="3" a="1"/>
  <c r="H16" i="3" s="1"/>
  <c r="I16" i="3" a="1"/>
  <c r="I16" i="3" s="1"/>
  <c r="J16" i="3" a="1"/>
  <c r="J16" i="3" s="1"/>
  <c r="G17" i="3" a="1"/>
  <c r="G17" i="3" s="1"/>
  <c r="H17" i="3" a="1"/>
  <c r="H17" i="3" s="1"/>
  <c r="I17" i="3" a="1"/>
  <c r="I17" i="3" s="1"/>
  <c r="J17" i="3" a="1"/>
  <c r="J17" i="3" s="1"/>
  <c r="G18" i="3" a="1"/>
  <c r="G18" i="3" s="1"/>
  <c r="H18" i="3" a="1"/>
  <c r="H18" i="3" s="1"/>
  <c r="I18" i="3" a="1"/>
  <c r="I18" i="3" s="1"/>
  <c r="J18" i="3" a="1"/>
  <c r="J18" i="3" s="1"/>
  <c r="G19" i="3" a="1"/>
  <c r="G19" i="3" s="1"/>
  <c r="H19" i="3" a="1"/>
  <c r="H19" i="3" s="1"/>
  <c r="I19" i="3" a="1"/>
  <c r="I19" i="3" s="1"/>
  <c r="J19" i="3" a="1"/>
  <c r="J19" i="3" s="1"/>
  <c r="G20" i="3" a="1"/>
  <c r="G20" i="3" s="1"/>
  <c r="H20" i="3" a="1"/>
  <c r="H20" i="3" s="1"/>
  <c r="I20" i="3" a="1"/>
  <c r="I20" i="3" s="1"/>
  <c r="J20" i="3" a="1"/>
  <c r="J20" i="3" s="1"/>
  <c r="G21" i="3" a="1"/>
  <c r="G21" i="3" s="1"/>
  <c r="H21" i="3" a="1"/>
  <c r="H21" i="3" s="1"/>
  <c r="I21" i="3" a="1"/>
  <c r="I21" i="3" s="1"/>
  <c r="J21" i="3" a="1"/>
  <c r="J21" i="3" s="1"/>
  <c r="G22" i="3" a="1"/>
  <c r="G22" i="3" s="1"/>
  <c r="H22" i="3" a="1"/>
  <c r="H22" i="3" s="1"/>
  <c r="I22" i="3" a="1"/>
  <c r="I22" i="3" s="1"/>
  <c r="J22" i="3" a="1"/>
  <c r="J22" i="3" s="1"/>
  <c r="G23" i="3" a="1"/>
  <c r="G23" i="3" s="1"/>
  <c r="H23" i="3" a="1"/>
  <c r="H23" i="3" s="1"/>
  <c r="J23" i="3" a="1"/>
  <c r="J23" i="3" s="1"/>
  <c r="G24" i="3" a="1"/>
  <c r="G24" i="3" s="1"/>
  <c r="H24" i="3" a="1"/>
  <c r="H24" i="3" s="1"/>
  <c r="J24" i="3" a="1"/>
  <c r="J24" i="3" s="1"/>
  <c r="G25" i="3" a="1"/>
  <c r="G25" i="3" s="1"/>
  <c r="H25" i="3" a="1"/>
  <c r="H25" i="3" s="1"/>
  <c r="J25" i="3" a="1"/>
  <c r="J25" i="3" s="1"/>
  <c r="G26" i="3" a="1"/>
  <c r="G26" i="3" s="1"/>
  <c r="H26" i="3" a="1"/>
  <c r="H26" i="3" s="1"/>
  <c r="J26" i="3" a="1"/>
  <c r="J26" i="3" s="1"/>
  <c r="G27" i="3" a="1"/>
  <c r="G27" i="3" s="1"/>
  <c r="H27" i="3" a="1"/>
  <c r="H27" i="3" s="1"/>
  <c r="J27" i="3" a="1"/>
  <c r="J27" i="3" s="1"/>
  <c r="G28" i="3" a="1"/>
  <c r="G28" i="3" s="1"/>
  <c r="H28" i="3" a="1"/>
  <c r="H28" i="3" s="1"/>
  <c r="J28" i="3" a="1"/>
  <c r="J28" i="3" s="1"/>
  <c r="G29" i="3" a="1"/>
  <c r="G29" i="3" s="1"/>
  <c r="H29" i="3" a="1"/>
  <c r="H29" i="3" s="1"/>
  <c r="J29" i="3" a="1"/>
  <c r="J29" i="3" s="1"/>
  <c r="G30" i="3" a="1"/>
  <c r="G30" i="3" s="1"/>
  <c r="H30" i="3" a="1"/>
  <c r="H30" i="3" s="1"/>
  <c r="J30" i="3" a="1"/>
  <c r="J30" i="3" s="1"/>
  <c r="G31" i="3" a="1"/>
  <c r="G31" i="3" s="1"/>
  <c r="H31" i="3" a="1"/>
  <c r="H31" i="3" s="1"/>
  <c r="J31" i="3" a="1"/>
  <c r="J31" i="3" s="1"/>
  <c r="G32" i="3" a="1"/>
  <c r="G32" i="3" s="1"/>
  <c r="H32" i="3" a="1"/>
  <c r="H32" i="3" s="1"/>
  <c r="J32" i="3" a="1"/>
  <c r="J32" i="3" s="1"/>
  <c r="G33" i="3" a="1"/>
  <c r="G33" i="3" s="1"/>
  <c r="J33" i="3" a="1"/>
  <c r="J33" i="3" s="1"/>
  <c r="G34" i="3" a="1"/>
  <c r="G34" i="3" s="1"/>
  <c r="J34" i="3" a="1"/>
  <c r="J34" i="3" s="1"/>
  <c r="G35" i="3" a="1"/>
  <c r="G35" i="3" s="1"/>
  <c r="J35" i="3" a="1"/>
  <c r="J35" i="3" s="1"/>
  <c r="G36" i="3" a="1"/>
  <c r="G36" i="3" s="1"/>
  <c r="J36" i="3" a="1"/>
  <c r="J36" i="3" s="1"/>
  <c r="J3" i="3" a="1"/>
  <c r="J3" i="3" s="1"/>
  <c r="I3" i="3" a="1"/>
  <c r="I3" i="3" s="1"/>
  <c r="H3" i="3" a="1"/>
  <c r="H3" i="3" s="1"/>
  <c r="G3" i="3" a="1"/>
  <c r="G3" i="3" s="1"/>
  <c r="F4" i="3" a="1"/>
  <c r="F4" i="3" s="1"/>
  <c r="F6" i="3" a="1"/>
  <c r="F6" i="3" s="1"/>
  <c r="F7" i="3" a="1"/>
  <c r="F7" i="3" s="1"/>
  <c r="F8" i="3" a="1"/>
  <c r="F8" i="3" s="1"/>
  <c r="F9" i="3" a="1"/>
  <c r="F9" i="3" s="1"/>
  <c r="F10" i="3" a="1"/>
  <c r="F10" i="3" s="1"/>
  <c r="F11" i="3" a="1"/>
  <c r="F11" i="3" s="1"/>
  <c r="F12" i="3" a="1"/>
  <c r="F12" i="3" s="1"/>
  <c r="F13" i="3" a="1"/>
  <c r="F13" i="3" s="1"/>
  <c r="F14" i="3" a="1"/>
  <c r="F14" i="3" s="1"/>
  <c r="F15" i="3" a="1"/>
  <c r="F15" i="3" s="1"/>
  <c r="F16" i="3" a="1"/>
  <c r="F16" i="3" s="1"/>
  <c r="F17" i="3" a="1"/>
  <c r="F17" i="3" s="1"/>
  <c r="F18" i="3" a="1"/>
  <c r="F18" i="3" s="1"/>
  <c r="F19" i="3" a="1"/>
  <c r="F19" i="3" s="1"/>
  <c r="F20" i="3" a="1"/>
  <c r="F20" i="3" s="1"/>
  <c r="F21" i="3" a="1"/>
  <c r="F21" i="3" s="1"/>
  <c r="F22" i="3" a="1"/>
  <c r="F22" i="3" s="1"/>
  <c r="F23" i="3" a="1"/>
  <c r="F23" i="3" s="1"/>
  <c r="F24" i="3" a="1"/>
  <c r="F24" i="3" s="1"/>
  <c r="F25" i="3" a="1"/>
  <c r="F25" i="3" s="1"/>
  <c r="F26" i="3" a="1"/>
  <c r="F26" i="3" s="1"/>
  <c r="F27" i="3" a="1"/>
  <c r="F27" i="3" s="1"/>
  <c r="F28" i="3" a="1"/>
  <c r="F28" i="3" s="1"/>
  <c r="F29" i="3" a="1"/>
  <c r="F29" i="3" s="1"/>
  <c r="F30" i="3" a="1"/>
  <c r="F30" i="3" s="1"/>
  <c r="F31" i="3" a="1"/>
  <c r="F31" i="3" s="1"/>
  <c r="F32" i="3" a="1"/>
  <c r="F32" i="3" s="1"/>
  <c r="F33" i="3" a="1"/>
  <c r="F33" i="3" s="1"/>
  <c r="F34" i="3" a="1"/>
  <c r="F34" i="3" s="1"/>
  <c r="F35" i="3" a="1"/>
  <c r="F35" i="3" s="1"/>
  <c r="F36" i="3" a="1"/>
  <c r="F36" i="3" s="1"/>
  <c r="F3" i="3" a="1"/>
  <c r="F3" i="3" s="1"/>
  <c r="J46" i="3" a="1"/>
  <c r="J62" i="3" a="1"/>
  <c r="J44" i="3" a="1"/>
  <c r="J43" i="3" a="1"/>
  <c r="J60" i="3" a="1"/>
  <c r="J63" i="3" a="1"/>
  <c r="J50" i="3" a="1"/>
  <c r="J66" i="3" a="1"/>
  <c r="J65" i="3" a="1"/>
  <c r="J51" i="3" a="1"/>
  <c r="J58" i="3" a="1"/>
  <c r="J59" i="3" a="1"/>
  <c r="J49" i="3" a="1"/>
  <c r="J47" i="3" a="1"/>
  <c r="J45" i="3" a="1"/>
  <c r="J57" i="3" a="1"/>
  <c r="J64" i="3" a="1"/>
  <c r="J48" i="3" a="1"/>
  <c r="J61" i="3" a="1"/>
  <c r="J42" i="3" a="1"/>
  <c r="J58" i="3" l="1"/>
  <c r="J66" i="3"/>
  <c r="J59" i="3"/>
  <c r="J60" i="3"/>
  <c r="J61" i="3"/>
  <c r="J62" i="3"/>
  <c r="J63" i="3"/>
  <c r="J64" i="3"/>
  <c r="J65" i="3"/>
  <c r="J57" i="3"/>
  <c r="J43" i="3"/>
  <c r="J51" i="3"/>
  <c r="J46" i="3"/>
  <c r="J50" i="3"/>
  <c r="J44" i="3"/>
  <c r="J49" i="3"/>
  <c r="J45" i="3"/>
  <c r="J47" i="3"/>
  <c r="J48" i="3"/>
  <c r="J42" i="3"/>
  <c r="C79" i="5"/>
  <c r="C78" i="5"/>
  <c r="C77" i="5"/>
  <c r="C76" i="5"/>
  <c r="C75" i="5"/>
  <c r="C74" i="5"/>
  <c r="C73" i="5"/>
  <c r="C72" i="5"/>
  <c r="C71" i="5"/>
  <c r="C70" i="5"/>
  <c r="C69" i="5"/>
  <c r="C47" i="5"/>
  <c r="C48" i="5" s="1"/>
  <c r="C46" i="5"/>
  <c r="C45" i="5"/>
  <c r="C28" i="5"/>
  <c r="B16" i="5"/>
  <c r="B12" i="5"/>
  <c r="B9" i="5"/>
  <c r="AO31" i="5" s="1"/>
  <c r="B5" i="5"/>
  <c r="B6" i="5" s="1"/>
  <c r="B7" i="5" s="1"/>
  <c r="M2" i="5"/>
  <c r="C29" i="5" l="1"/>
  <c r="B8" i="5"/>
  <c r="B10" i="5" s="1"/>
  <c r="C49" i="5"/>
  <c r="C50" i="5" l="1"/>
  <c r="C51" i="5" s="1"/>
  <c r="B11" i="5"/>
  <c r="C30" i="5"/>
  <c r="C31" i="5" s="1"/>
  <c r="C32" i="5" l="1"/>
  <c r="C52" i="5"/>
  <c r="C53" i="5" s="1"/>
  <c r="B13" i="5"/>
  <c r="B14" i="5" s="1"/>
  <c r="B15" i="5" s="1"/>
  <c r="C54" i="5" l="1"/>
  <c r="C55" i="5"/>
  <c r="C33" i="5"/>
  <c r="B17" i="5"/>
  <c r="C56" i="5"/>
  <c r="B18" i="5" l="1"/>
  <c r="B19" i="5" s="1"/>
  <c r="C34" i="5"/>
  <c r="C57" i="5"/>
  <c r="AJ18" i="5" l="1"/>
  <c r="C58" i="5"/>
  <c r="C35" i="5"/>
  <c r="B20" i="5"/>
  <c r="B21" i="5" s="1"/>
  <c r="B22" i="5" s="1"/>
  <c r="B23" i="5" s="1"/>
  <c r="B24" i="5" s="1"/>
  <c r="B25" i="5" s="1"/>
  <c r="B26" i="5" s="1"/>
  <c r="B27" i="5" s="1"/>
  <c r="C59" i="5" l="1"/>
  <c r="C36" i="5"/>
  <c r="C37" i="5" l="1"/>
  <c r="C60" i="5"/>
  <c r="C61" i="5" l="1"/>
  <c r="C38" i="5"/>
  <c r="C39" i="5" l="1"/>
  <c r="C62" i="5"/>
  <c r="C63" i="5" l="1"/>
  <c r="C40" i="5"/>
  <c r="C41" i="5" l="1"/>
  <c r="C64" i="5"/>
  <c r="C65" i="5" l="1"/>
  <c r="C42" i="5"/>
  <c r="C43" i="5" l="1"/>
  <c r="C66" i="5"/>
  <c r="C67" i="5" l="1"/>
  <c r="C44" i="5"/>
  <c r="C68" i="5" l="1"/>
  <c r="Q1" i="3" l="1"/>
  <c r="AD1" i="3"/>
  <c r="D144" i="1" l="1" a="1"/>
  <c r="D144" i="1" s="1"/>
  <c r="AB21" i="1" s="1"/>
  <c r="D145" i="1" a="1"/>
  <c r="D145" i="1" s="1"/>
  <c r="AC21" i="1" s="1"/>
  <c r="D146" i="1" a="1"/>
  <c r="D146" i="1" s="1"/>
  <c r="AD21" i="1" s="1"/>
  <c r="D147" i="1" a="1"/>
  <c r="D147" i="1" s="1"/>
  <c r="AB22" i="1" s="1"/>
  <c r="D148" i="1" a="1"/>
  <c r="D148" i="1" s="1"/>
  <c r="AC22" i="1" s="1"/>
  <c r="D149" i="1" a="1"/>
  <c r="D149" i="1" s="1"/>
  <c r="AD22" i="1" s="1"/>
  <c r="D150" i="1" a="1"/>
  <c r="D150" i="1" s="1"/>
  <c r="AB24" i="1" s="1"/>
  <c r="D151" i="1" a="1"/>
  <c r="D151" i="1" s="1"/>
  <c r="AC24" i="1" s="1"/>
  <c r="D152" i="1" a="1"/>
  <c r="D152" i="1" s="1"/>
  <c r="AD24" i="1" s="1"/>
  <c r="D153" i="1" a="1"/>
  <c r="D153" i="1" s="1"/>
  <c r="AB25" i="1" s="1"/>
  <c r="D154" i="1" a="1"/>
  <c r="D154" i="1" s="1"/>
  <c r="AC25" i="1" s="1"/>
  <c r="D155" i="1" a="1"/>
  <c r="D155" i="1" s="1"/>
  <c r="AD25" i="1" s="1"/>
  <c r="D156" i="1" a="1"/>
  <c r="D156" i="1" s="1"/>
  <c r="AB27" i="1" s="1"/>
  <c r="D157" i="1" a="1"/>
  <c r="D157" i="1" s="1"/>
  <c r="AC27" i="1" s="1"/>
  <c r="D158" i="1" a="1"/>
  <c r="D158" i="1" s="1"/>
  <c r="AD27" i="1" s="1"/>
  <c r="D159" i="1" a="1"/>
  <c r="D159" i="1" s="1"/>
  <c r="AB28" i="1" s="1"/>
  <c r="D160" i="1" a="1"/>
  <c r="D160" i="1" s="1"/>
  <c r="AC28" i="1" s="1"/>
  <c r="D161" i="1" a="1"/>
  <c r="D161" i="1" s="1"/>
  <c r="AD28" i="1" s="1"/>
  <c r="D162" i="1" a="1"/>
  <c r="D162" i="1" s="1"/>
  <c r="AB29" i="1" s="1"/>
  <c r="D163" i="1" a="1"/>
  <c r="D163" i="1" s="1"/>
  <c r="AC29" i="1" s="1"/>
  <c r="D164" i="1" a="1"/>
  <c r="D164" i="1" s="1"/>
  <c r="AD29" i="1" s="1"/>
  <c r="D165" i="1" a="1"/>
  <c r="D165" i="1" s="1"/>
  <c r="D166" i="1" a="1"/>
  <c r="D166" i="1" s="1"/>
  <c r="D167" i="1" a="1"/>
  <c r="D167" i="1" s="1"/>
  <c r="D168" i="1" a="1"/>
  <c r="D168" i="1" s="1"/>
  <c r="D169" i="1" a="1"/>
  <c r="D169" i="1" s="1"/>
  <c r="D139" i="1" a="1"/>
  <c r="D139" i="1" s="1"/>
  <c r="K28" i="1" s="1"/>
  <c r="D140" i="1" a="1"/>
  <c r="D140" i="1" s="1"/>
  <c r="L28" i="1" s="1"/>
  <c r="D141" i="1" a="1"/>
  <c r="D141" i="1" s="1"/>
  <c r="J29" i="1" s="1"/>
  <c r="D142" i="1" a="1"/>
  <c r="D142" i="1" s="1"/>
  <c r="K29" i="1" s="1"/>
  <c r="D143" i="1" a="1"/>
  <c r="D143" i="1" s="1"/>
  <c r="L29" i="1" s="1"/>
  <c r="D115" i="1" a="1"/>
  <c r="D115" i="1" s="1"/>
  <c r="Q24" i="1" s="1"/>
  <c r="D116" i="1" a="1"/>
  <c r="D116" i="1" s="1"/>
  <c r="R24" i="1" s="1"/>
  <c r="D117" i="1" a="1"/>
  <c r="D117" i="1" s="1"/>
  <c r="Q25" i="1" s="1"/>
  <c r="D118" i="1" a="1"/>
  <c r="D118" i="1" s="1"/>
  <c r="R25" i="1" s="1"/>
  <c r="D119" i="1" a="1"/>
  <c r="D119" i="1" s="1"/>
  <c r="N24" i="1" s="1"/>
  <c r="D120" i="1" a="1"/>
  <c r="D120" i="1" s="1"/>
  <c r="O24" i="1" s="1"/>
  <c r="D121" i="1" a="1"/>
  <c r="D121" i="1" s="1"/>
  <c r="N25" i="1" s="1"/>
  <c r="D122" i="1" a="1"/>
  <c r="D122" i="1" s="1"/>
  <c r="O25" i="1" s="1"/>
  <c r="D107" i="1" a="1"/>
  <c r="D107" i="1" s="1"/>
  <c r="U27" i="1" s="1"/>
  <c r="D108" i="1" a="1"/>
  <c r="D108" i="1" s="1"/>
  <c r="V27" i="1" s="1"/>
  <c r="D109" i="1" a="1"/>
  <c r="D109" i="1" s="1"/>
  <c r="T28" i="1" s="1"/>
  <c r="D110" i="1" a="1"/>
  <c r="D110" i="1" s="1"/>
  <c r="U28" i="1" s="1"/>
  <c r="D111" i="1" a="1"/>
  <c r="D111" i="1" s="1"/>
  <c r="V28" i="1" s="1"/>
  <c r="D112" i="1" a="1"/>
  <c r="D112" i="1" s="1"/>
  <c r="T29" i="1" s="1"/>
  <c r="D113" i="1" a="1"/>
  <c r="D113" i="1" s="1"/>
  <c r="U29" i="1" s="1"/>
  <c r="D114" i="1" a="1"/>
  <c r="D114" i="1" s="1"/>
  <c r="V29" i="1" s="1"/>
  <c r="D83" i="1" a="1"/>
  <c r="D83" i="1" s="1"/>
  <c r="Q21" i="1" s="1"/>
  <c r="D84" i="1" a="1"/>
  <c r="D84" i="1" s="1"/>
  <c r="R21" i="1" s="1"/>
  <c r="D85" i="1" a="1"/>
  <c r="D85" i="1" s="1"/>
  <c r="Q22" i="1" s="1"/>
  <c r="D86" i="1" a="1"/>
  <c r="D86" i="1" s="1"/>
  <c r="R22" i="1" s="1"/>
  <c r="D87" i="1" a="1"/>
  <c r="D87" i="1" s="1"/>
  <c r="N21" i="1" s="1"/>
  <c r="D88" i="1" a="1"/>
  <c r="D88" i="1" s="1"/>
  <c r="O21" i="1" s="1"/>
  <c r="D89" i="1" a="1"/>
  <c r="D89" i="1" s="1"/>
  <c r="N22" i="1" s="1"/>
  <c r="D90" i="1" a="1"/>
  <c r="D90" i="1" s="1"/>
  <c r="O22" i="1" s="1"/>
  <c r="D80" i="1" a="1"/>
  <c r="D80" i="1" s="1"/>
  <c r="D81" i="1" a="1"/>
  <c r="D81" i="1" s="1"/>
  <c r="U24" i="1" s="1"/>
  <c r="D82" i="1" a="1"/>
  <c r="D82" i="1" s="1"/>
  <c r="V24" i="1" s="1"/>
  <c r="D125" i="1" a="1"/>
  <c r="D125" i="1" s="1"/>
  <c r="L21" i="1" s="1"/>
  <c r="D126" i="1" a="1"/>
  <c r="D126" i="1" s="1"/>
  <c r="J22" i="1" s="1"/>
  <c r="D127" i="1" a="1"/>
  <c r="D127" i="1" s="1"/>
  <c r="K22" i="1" s="1"/>
  <c r="D128" i="1" a="1"/>
  <c r="D128" i="1" s="1"/>
  <c r="L22" i="1" s="1"/>
  <c r="D129" i="1" a="1"/>
  <c r="D129" i="1" s="1"/>
  <c r="J24" i="1" s="1"/>
  <c r="D130" i="1" a="1"/>
  <c r="D130" i="1" s="1"/>
  <c r="K24" i="1" s="1"/>
  <c r="D131" i="1" a="1"/>
  <c r="D131" i="1" s="1"/>
  <c r="L24" i="1" s="1"/>
  <c r="D132" i="1" a="1"/>
  <c r="D132" i="1" s="1"/>
  <c r="J25" i="1" s="1"/>
  <c r="D133" i="1" a="1"/>
  <c r="D133" i="1" s="1"/>
  <c r="K25" i="1" s="1"/>
  <c r="D134" i="1" a="1"/>
  <c r="D134" i="1" s="1"/>
  <c r="L25" i="1" s="1"/>
  <c r="D135" i="1" a="1"/>
  <c r="D135" i="1" s="1"/>
  <c r="J27" i="1" s="1"/>
  <c r="D136" i="1" a="1"/>
  <c r="D136" i="1" s="1"/>
  <c r="K27" i="1" s="1"/>
  <c r="D137" i="1" a="1"/>
  <c r="D137" i="1" s="1"/>
  <c r="L27" i="1" s="1"/>
  <c r="D138" i="1" a="1"/>
  <c r="D138" i="1" s="1"/>
  <c r="J28" i="1" s="1"/>
  <c r="D106" i="1" a="1"/>
  <c r="D106" i="1" s="1"/>
  <c r="T27" i="1" s="1"/>
  <c r="D105" i="1" a="1"/>
  <c r="D105" i="1" s="1"/>
  <c r="V26" i="1" s="1"/>
  <c r="D104" i="1" a="1"/>
  <c r="D104" i="1" s="1"/>
  <c r="U26" i="1" s="1"/>
  <c r="D103" i="1" a="1"/>
  <c r="D103" i="1" s="1"/>
  <c r="T26" i="1" s="1"/>
  <c r="D102" i="1" a="1"/>
  <c r="D102" i="1" s="1"/>
  <c r="Z29" i="1" s="1"/>
  <c r="D101" i="1" a="1"/>
  <c r="D101" i="1" s="1"/>
  <c r="Y29" i="1" s="1"/>
  <c r="D100" i="1" a="1"/>
  <c r="D100" i="1" s="1"/>
  <c r="X29" i="1" s="1"/>
  <c r="D99" i="1" a="1"/>
  <c r="D99" i="1" s="1"/>
  <c r="Z28" i="1" s="1"/>
  <c r="D98" i="1" a="1"/>
  <c r="D98" i="1" s="1"/>
  <c r="Y28" i="1" s="1"/>
  <c r="D97" i="1" a="1"/>
  <c r="D97" i="1" s="1"/>
  <c r="X28" i="1" s="1"/>
  <c r="D96" i="1" a="1"/>
  <c r="D96" i="1" s="1"/>
  <c r="Z27" i="1" s="1"/>
  <c r="D95" i="1" a="1"/>
  <c r="D95" i="1" s="1"/>
  <c r="Y27" i="1" s="1"/>
  <c r="D94" i="1" a="1"/>
  <c r="D94" i="1" s="1"/>
  <c r="X27" i="1" s="1"/>
  <c r="D93" i="1" a="1"/>
  <c r="D93" i="1" s="1"/>
  <c r="Z26" i="1" s="1"/>
  <c r="D92" i="1" a="1"/>
  <c r="D92" i="1" s="1"/>
  <c r="Y26" i="1" s="1"/>
  <c r="D91" i="1" a="1"/>
  <c r="D91" i="1" s="1"/>
  <c r="X26" i="1" s="1"/>
  <c r="D69" i="1" a="1"/>
  <c r="D69" i="1" s="1"/>
  <c r="Y24" i="1" s="1"/>
  <c r="D70" i="1" a="1"/>
  <c r="D70" i="1" s="1"/>
  <c r="Z24" i="1" s="1"/>
  <c r="J1" i="1" l="1"/>
  <c r="H1" i="1"/>
  <c r="D12" i="1" l="1" a="1"/>
  <c r="D12" i="1" s="1"/>
  <c r="D3" i="1" a="1"/>
  <c r="D3" i="1" s="1"/>
  <c r="D4" i="1" a="1"/>
  <c r="D4" i="1" s="1"/>
  <c r="D5" i="1" a="1"/>
  <c r="D5" i="1" s="1"/>
  <c r="D6" i="1" a="1"/>
  <c r="D6" i="1" s="1"/>
  <c r="AA3" i="1" s="1"/>
  <c r="D7" i="1" a="1"/>
  <c r="D7" i="1" s="1"/>
  <c r="D8" i="1" a="1"/>
  <c r="D8" i="1" s="1"/>
  <c r="AC3" i="1" s="1"/>
  <c r="D9" i="1" a="1"/>
  <c r="D9" i="1" s="1"/>
  <c r="D10" i="1" a="1"/>
  <c r="D10" i="1" s="1"/>
  <c r="D11" i="1" a="1"/>
  <c r="D11" i="1" s="1"/>
  <c r="D13" i="1" a="1"/>
  <c r="D13" i="1" s="1"/>
  <c r="D14" i="1" a="1"/>
  <c r="D14" i="1" s="1"/>
  <c r="D15" i="1" a="1"/>
  <c r="D15" i="1" s="1"/>
  <c r="D16" i="1" a="1"/>
  <c r="D16" i="1" s="1"/>
  <c r="D17" i="1" a="1"/>
  <c r="D17" i="1" s="1"/>
  <c r="D18" i="1" a="1"/>
  <c r="D18" i="1" s="1"/>
  <c r="D19" i="1" a="1"/>
  <c r="D19" i="1" s="1"/>
  <c r="D20" i="1" a="1"/>
  <c r="D20" i="1" s="1"/>
  <c r="D21" i="1" a="1"/>
  <c r="D21" i="1" s="1"/>
  <c r="D22" i="1" a="1"/>
  <c r="D22" i="1" s="1"/>
  <c r="E22" i="1" s="1"/>
  <c r="D23" i="1" a="1"/>
  <c r="D23" i="1" s="1"/>
  <c r="V12" i="1" s="1"/>
  <c r="D24" i="1" a="1"/>
  <c r="D24" i="1" s="1"/>
  <c r="U12" i="1" s="1"/>
  <c r="D25" i="1" a="1"/>
  <c r="D25" i="1" s="1"/>
  <c r="T12" i="1" s="1"/>
  <c r="D26" i="1" a="1"/>
  <c r="D26" i="1" s="1"/>
  <c r="S12" i="1" s="1"/>
  <c r="D27" i="1" a="1"/>
  <c r="D27" i="1" s="1"/>
  <c r="R12" i="1" s="1"/>
  <c r="D28" i="1" a="1"/>
  <c r="D28" i="1" s="1"/>
  <c r="Q12" i="1" s="1"/>
  <c r="D29" i="1" a="1"/>
  <c r="D29" i="1" s="1"/>
  <c r="P12" i="1" s="1"/>
  <c r="D30" i="1" a="1"/>
  <c r="D30" i="1" s="1"/>
  <c r="O12" i="1" s="1"/>
  <c r="D31" i="1" a="1"/>
  <c r="D31" i="1" s="1"/>
  <c r="N12" i="1" s="1"/>
  <c r="D32" i="1" a="1"/>
  <c r="D32" i="1" s="1"/>
  <c r="AD16" i="1" s="1"/>
  <c r="D33" i="1" a="1"/>
  <c r="D33" i="1" s="1"/>
  <c r="AD18" i="1" s="1"/>
  <c r="D34" i="1" a="1"/>
  <c r="D34" i="1" s="1"/>
  <c r="AC18" i="1" s="1"/>
  <c r="D35" i="1" a="1"/>
  <c r="D35" i="1" s="1"/>
  <c r="AB18" i="1" s="1"/>
  <c r="D36" i="1" a="1"/>
  <c r="D36" i="1" s="1"/>
  <c r="AA18" i="1" s="1"/>
  <c r="D37" i="1" a="1"/>
  <c r="D37" i="1" s="1"/>
  <c r="Z18" i="1" s="1"/>
  <c r="D38" i="1" a="1"/>
  <c r="D38" i="1" s="1"/>
  <c r="Y18" i="1" s="1"/>
  <c r="D39" i="1" a="1"/>
  <c r="D39" i="1" s="1"/>
  <c r="X18" i="1" s="1"/>
  <c r="D40" i="1" a="1"/>
  <c r="D40" i="1" s="1"/>
  <c r="W18" i="1" s="1"/>
  <c r="D41" i="1" a="1"/>
  <c r="D41" i="1" s="1"/>
  <c r="V18" i="1" s="1"/>
  <c r="D42" i="1" a="1"/>
  <c r="D42" i="1" s="1"/>
  <c r="D43" i="1" a="1"/>
  <c r="D43" i="1" s="1"/>
  <c r="D44" i="1" a="1"/>
  <c r="D44" i="1" s="1"/>
  <c r="T18" i="1" s="1"/>
  <c r="D45" i="1" a="1"/>
  <c r="D45" i="1" s="1"/>
  <c r="S18" i="1" s="1"/>
  <c r="D46" i="1" a="1"/>
  <c r="D46" i="1" s="1"/>
  <c r="R18" i="1" s="1"/>
  <c r="D47" i="1" a="1"/>
  <c r="D47" i="1" s="1"/>
  <c r="Q18" i="1" s="1"/>
  <c r="D48" i="1" a="1"/>
  <c r="D48" i="1" s="1"/>
  <c r="P18" i="1" s="1"/>
  <c r="D49" i="1" a="1"/>
  <c r="D49" i="1" s="1"/>
  <c r="O18" i="1" s="1"/>
  <c r="D50" i="1" a="1"/>
  <c r="D50" i="1" s="1"/>
  <c r="N18" i="1" s="1"/>
  <c r="D51" i="1" a="1"/>
  <c r="D51" i="1" s="1"/>
  <c r="M18" i="1" s="1"/>
  <c r="D52" i="1" a="1"/>
  <c r="D52" i="1" s="1"/>
  <c r="L18" i="1" s="1"/>
  <c r="D53" i="1" a="1"/>
  <c r="D53" i="1" s="1"/>
  <c r="K18" i="1" s="1"/>
  <c r="D54" i="1" a="1"/>
  <c r="D54" i="1" s="1"/>
  <c r="J18" i="1" s="1"/>
  <c r="D55" i="1" a="1"/>
  <c r="D55" i="1" s="1"/>
  <c r="I18" i="1" s="1"/>
  <c r="D56" i="1" a="1"/>
  <c r="D56" i="1" s="1"/>
  <c r="H18" i="1" s="1"/>
  <c r="D57" i="1" a="1"/>
  <c r="D57" i="1" s="1"/>
  <c r="G18" i="1" s="1"/>
  <c r="D58" i="1" a="1"/>
  <c r="D58" i="1" s="1"/>
  <c r="G16" i="1" s="1"/>
  <c r="D59" i="1" a="1"/>
  <c r="D59" i="1" s="1"/>
  <c r="D60" i="1" a="1"/>
  <c r="D60" i="1" s="1"/>
  <c r="Y21" i="1" s="1"/>
  <c r="D61" i="1" a="1"/>
  <c r="D61" i="1" s="1"/>
  <c r="Z21" i="1" s="1"/>
  <c r="D62" i="1" a="1"/>
  <c r="D62" i="1" s="1"/>
  <c r="X22" i="1" s="1"/>
  <c r="D63" i="1" a="1"/>
  <c r="D63" i="1" s="1"/>
  <c r="Y22" i="1" s="1"/>
  <c r="D64" i="1" a="1"/>
  <c r="D64" i="1" s="1"/>
  <c r="Z22" i="1" s="1"/>
  <c r="D65" i="1" a="1"/>
  <c r="D65" i="1" s="1"/>
  <c r="X23" i="1" s="1"/>
  <c r="D66" i="1" a="1"/>
  <c r="D66" i="1" s="1"/>
  <c r="Y23" i="1" s="1"/>
  <c r="D67" i="1" a="1"/>
  <c r="D67" i="1" s="1"/>
  <c r="Z23" i="1" s="1"/>
  <c r="D68" i="1" a="1"/>
  <c r="D68" i="1" s="1"/>
  <c r="X24" i="1" s="1"/>
  <c r="D71" i="1" a="1"/>
  <c r="D71" i="1" s="1"/>
  <c r="T21" i="1" s="1"/>
  <c r="D72" i="1" a="1"/>
  <c r="D72" i="1" s="1"/>
  <c r="U21" i="1" s="1"/>
  <c r="D73" i="1" a="1"/>
  <c r="D73" i="1" s="1"/>
  <c r="V21" i="1" s="1"/>
  <c r="D74" i="1" a="1"/>
  <c r="D74" i="1" s="1"/>
  <c r="T22" i="1" s="1"/>
  <c r="D75" i="1" a="1"/>
  <c r="D75" i="1" s="1"/>
  <c r="U22" i="1" s="1"/>
  <c r="D76" i="1" a="1"/>
  <c r="D76" i="1" s="1"/>
  <c r="V22" i="1" s="1"/>
  <c r="D77" i="1" a="1"/>
  <c r="D77" i="1" s="1"/>
  <c r="T23" i="1" s="1"/>
  <c r="D78" i="1" a="1"/>
  <c r="D78" i="1" s="1"/>
  <c r="U23" i="1" s="1"/>
  <c r="D79" i="1" a="1"/>
  <c r="D79" i="1" s="1"/>
  <c r="V23" i="1" s="1"/>
  <c r="T24" i="1"/>
  <c r="D123" i="1" a="1"/>
  <c r="D123" i="1" s="1"/>
  <c r="J21" i="1" s="1"/>
  <c r="D124" i="1" a="1"/>
  <c r="D124" i="1" s="1"/>
  <c r="K21" i="1" s="1"/>
  <c r="G21" i="1"/>
  <c r="H21" i="1"/>
  <c r="G22" i="1"/>
  <c r="H22" i="1"/>
  <c r="G23" i="1"/>
  <c r="D2" i="1" a="1"/>
  <c r="D2" i="1" s="1"/>
  <c r="X21" i="1" l="1"/>
  <c r="H29" i="1"/>
  <c r="E19" i="1"/>
  <c r="E18" i="1"/>
  <c r="E9" i="1"/>
  <c r="E17" i="1"/>
  <c r="E16" i="1"/>
  <c r="E15" i="1"/>
  <c r="E14" i="1"/>
  <c r="E21" i="1"/>
  <c r="E13" i="1"/>
  <c r="E20" i="1"/>
  <c r="E11" i="1"/>
  <c r="E10" i="1"/>
  <c r="E12" i="1"/>
  <c r="AB3" i="1"/>
  <c r="Z6" i="1"/>
  <c r="AA6" i="1"/>
  <c r="AB6" i="1"/>
  <c r="AC6" i="1"/>
  <c r="AB11" i="1" l="1"/>
  <c r="AC12" i="1"/>
  <c r="Z11" i="1"/>
  <c r="X11" i="1"/>
  <c r="AD11" i="1"/>
  <c r="AB12" i="1"/>
  <c r="Y11" i="1"/>
  <c r="AD12" i="1"/>
  <c r="AC11" i="1"/>
  <c r="Y12" i="1"/>
  <c r="Z12" i="1"/>
  <c r="AA11" i="1"/>
  <c r="AA12" i="1"/>
  <c r="X12" i="1"/>
  <c r="D64" i="2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39" i="2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4" i="2" s="1"/>
  <c r="D55" i="2" s="1"/>
  <c r="D56" i="2" s="1"/>
  <c r="D57" i="2" s="1"/>
  <c r="D58" i="2" s="1"/>
  <c r="D59" i="2" s="1"/>
  <c r="D60" i="2" s="1"/>
  <c r="D61" i="2" s="1"/>
  <c r="D62" i="2" s="1"/>
  <c r="D30" i="2"/>
  <c r="D31" i="2" s="1"/>
  <c r="D32" i="2" s="1"/>
  <c r="D33" i="2" s="1"/>
  <c r="D34" i="2" s="1"/>
  <c r="D35" i="2" s="1"/>
  <c r="D36" i="2" s="1"/>
  <c r="D37" i="2" s="1"/>
  <c r="D20" i="2"/>
  <c r="D21" i="2" s="1"/>
  <c r="D22" i="2" s="1"/>
  <c r="D23" i="2" s="1"/>
  <c r="D24" i="2" s="1"/>
  <c r="D25" i="2" s="1"/>
  <c r="D26" i="2" s="1"/>
  <c r="D27" i="2" s="1"/>
  <c r="D9" i="2"/>
  <c r="D10" i="2" s="1"/>
  <c r="D11" i="2" s="1"/>
  <c r="D12" i="2" s="1"/>
  <c r="D13" i="2" s="1"/>
  <c r="D14" i="2" s="1"/>
  <c r="D15" i="2" s="1"/>
  <c r="D16" i="2" s="1"/>
  <c r="D17" i="2" s="1"/>
  <c r="D18" i="2" s="1"/>
  <c r="D3" i="2"/>
  <c r="Z9" i="1" l="1"/>
  <c r="D4" i="2"/>
  <c r="D5" i="2" s="1"/>
  <c r="D6" i="2" s="1"/>
  <c r="D7" i="2" s="1"/>
  <c r="J1" i="2" a="1"/>
  <c r="J1" i="2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<sst xmlns="http://schemas.openxmlformats.org/spreadsheetml/2006/main" count="1011" uniqueCount="362">
  <si>
    <t>Буфер</t>
  </si>
  <si>
    <t>Appearance</t>
  </si>
  <si>
    <t>Function</t>
  </si>
  <si>
    <t>P1</t>
  </si>
  <si>
    <t>V1</t>
  </si>
  <si>
    <t>P9</t>
  </si>
  <si>
    <t>A1</t>
  </si>
  <si>
    <t>A9</t>
  </si>
  <si>
    <t>I3</t>
  </si>
  <si>
    <t>I2</t>
  </si>
  <si>
    <t>X0</t>
  </si>
  <si>
    <t>Z0</t>
  </si>
  <si>
    <t>X6</t>
  </si>
  <si>
    <t>Накопитель</t>
  </si>
  <si>
    <t>Разгрузка</t>
  </si>
  <si>
    <t>Аудит</t>
  </si>
  <si>
    <t>Точка</t>
  </si>
  <si>
    <t>Заказ</t>
  </si>
  <si>
    <t>Модель</t>
  </si>
  <si>
    <t>Время скана</t>
  </si>
  <si>
    <t>Точка скана</t>
  </si>
  <si>
    <t>SHA01201</t>
  </si>
  <si>
    <t>SHA01202</t>
  </si>
  <si>
    <t>SHA01203</t>
  </si>
  <si>
    <t>SHA01204</t>
  </si>
  <si>
    <t>SHA01205</t>
  </si>
  <si>
    <t>SHA01206</t>
  </si>
  <si>
    <t>SHA01207</t>
  </si>
  <si>
    <t>SHA01208</t>
  </si>
  <si>
    <t>SHA01209</t>
  </si>
  <si>
    <t>SHA01210</t>
  </si>
  <si>
    <t>SHA01211</t>
  </si>
  <si>
    <t>SHA01212</t>
  </si>
  <si>
    <t>SHA01213</t>
  </si>
  <si>
    <t>SHA01214</t>
  </si>
  <si>
    <t>SHA01215</t>
  </si>
  <si>
    <t>SHA01216</t>
  </si>
  <si>
    <t>SHA01217</t>
  </si>
  <si>
    <t>SHA01218</t>
  </si>
  <si>
    <t>SHA01219</t>
  </si>
  <si>
    <t>SHA01220</t>
  </si>
  <si>
    <t>SHA01221</t>
  </si>
  <si>
    <t>SHA01222</t>
  </si>
  <si>
    <t>SHA01223</t>
  </si>
  <si>
    <t>SHA01224</t>
  </si>
  <si>
    <t>SHA01225</t>
  </si>
  <si>
    <t>SHA01226</t>
  </si>
  <si>
    <t>SHA01227</t>
  </si>
  <si>
    <t>SHA01228</t>
  </si>
  <si>
    <t>SHA01229</t>
  </si>
  <si>
    <t>SHA01230</t>
  </si>
  <si>
    <t>SHA01231</t>
  </si>
  <si>
    <t>SHA01232</t>
  </si>
  <si>
    <t>SHA01233</t>
  </si>
  <si>
    <t>SHA01234</t>
  </si>
  <si>
    <t>SHA01235</t>
  </si>
  <si>
    <t>SHA01236</t>
  </si>
  <si>
    <t>SHA01237</t>
  </si>
  <si>
    <t>SHA01238</t>
  </si>
  <si>
    <t>SHA01239</t>
  </si>
  <si>
    <t>SHA01240</t>
  </si>
  <si>
    <t>SHA01241</t>
  </si>
  <si>
    <t>SHA01242</t>
  </si>
  <si>
    <t>SHA01243</t>
  </si>
  <si>
    <t>SHA01244</t>
  </si>
  <si>
    <t>SHA01245</t>
  </si>
  <si>
    <t>SHA01246</t>
  </si>
  <si>
    <t>SHA01247</t>
  </si>
  <si>
    <t>SHA01248</t>
  </si>
  <si>
    <t>SHA01249</t>
  </si>
  <si>
    <t>SHA01250</t>
  </si>
  <si>
    <t>SHA01251</t>
  </si>
  <si>
    <t>SHA01252</t>
  </si>
  <si>
    <t>SHA01253</t>
  </si>
  <si>
    <t>SHA01254</t>
  </si>
  <si>
    <t>SHA01255</t>
  </si>
  <si>
    <t>SHA01256</t>
  </si>
  <si>
    <t>SHA01257</t>
  </si>
  <si>
    <t>SHA01258</t>
  </si>
  <si>
    <t>SHA01259</t>
  </si>
  <si>
    <t>SHA01260</t>
  </si>
  <si>
    <t>SHA01261</t>
  </si>
  <si>
    <t>SHA01262</t>
  </si>
  <si>
    <t>SHA01263</t>
  </si>
  <si>
    <t>SHA01264</t>
  </si>
  <si>
    <t>SHA01265</t>
  </si>
  <si>
    <t>SHA01266</t>
  </si>
  <si>
    <t>SHA01267</t>
  </si>
  <si>
    <t>SHA01268</t>
  </si>
  <si>
    <t>SHA01269</t>
  </si>
  <si>
    <t>SHA01270</t>
  </si>
  <si>
    <t>SHA01271</t>
  </si>
  <si>
    <t>SHA01272</t>
  </si>
  <si>
    <t>SHA01273</t>
  </si>
  <si>
    <t>SHA01274</t>
  </si>
  <si>
    <t>SHA01275</t>
  </si>
  <si>
    <t>SHA01276</t>
  </si>
  <si>
    <t>SHA01277</t>
  </si>
  <si>
    <t>SHA01278</t>
  </si>
  <si>
    <t>SHA01279</t>
  </si>
  <si>
    <t>SHA01280</t>
  </si>
  <si>
    <t>I8</t>
  </si>
  <si>
    <t>Pre-Buy off</t>
  </si>
  <si>
    <t>Место</t>
  </si>
  <si>
    <t>Название точки</t>
  </si>
  <si>
    <t>Ремзона (разгрузка)</t>
  </si>
  <si>
    <t>Стандарт</t>
  </si>
  <si>
    <t>Факт</t>
  </si>
  <si>
    <t>Всего оффлайн</t>
  </si>
  <si>
    <t>Y0</t>
  </si>
  <si>
    <t>Доска контроля производства</t>
  </si>
  <si>
    <t>Линия DKD</t>
  </si>
  <si>
    <t>Дата</t>
  </si>
  <si>
    <t>Время</t>
  </si>
  <si>
    <t>Ожидание ремонта сборки</t>
  </si>
  <si>
    <t>Ремонт сборки</t>
  </si>
  <si>
    <t>Ожидание расследования</t>
  </si>
  <si>
    <t>Начало расследования</t>
  </si>
  <si>
    <t>Ожидание функциональной линии</t>
  </si>
  <si>
    <t>Ожидание ремонта окраски</t>
  </si>
  <si>
    <t>Ремонт окраски</t>
  </si>
  <si>
    <t>Ожидание ремонта пластика</t>
  </si>
  <si>
    <t>Ожидание ремонта сварки</t>
  </si>
  <si>
    <t>Ремонт пластика</t>
  </si>
  <si>
    <t>Ремонт сварки</t>
  </si>
  <si>
    <t>Ожидание передачи на СГП</t>
  </si>
  <si>
    <t>Ожидание подтверждения</t>
  </si>
  <si>
    <t>Подтверждение</t>
  </si>
  <si>
    <t>X1</t>
  </si>
  <si>
    <t>X4</t>
  </si>
  <si>
    <t xml:space="preserve">Appearance </t>
  </si>
  <si>
    <t>Буфер Function</t>
  </si>
  <si>
    <t>Ожидание Расследования</t>
  </si>
  <si>
    <t>Расследование</t>
  </si>
  <si>
    <t>Буфер Appearance</t>
  </si>
  <si>
    <t>Y2</t>
  </si>
  <si>
    <t>W5</t>
  </si>
  <si>
    <t>Z1</t>
  </si>
  <si>
    <t>Y1</t>
  </si>
  <si>
    <t>W6</t>
  </si>
  <si>
    <t>Y3</t>
  </si>
  <si>
    <t>Z2</t>
  </si>
  <si>
    <t>Z3</t>
  </si>
  <si>
    <t>Z4</t>
  </si>
  <si>
    <t>Линия сборки кабин</t>
  </si>
  <si>
    <t>Буфер готовых кабин</t>
  </si>
  <si>
    <t>Сварка</t>
  </si>
  <si>
    <t>Ожидание пескоструйной обработки</t>
  </si>
  <si>
    <t>Пескоструйная обработка</t>
  </si>
  <si>
    <t>Подсборка осей</t>
  </si>
  <si>
    <t>Готовые оси</t>
  </si>
  <si>
    <t>Линия сборки шасси 1</t>
  </si>
  <si>
    <t>Линия сборки шасси 2</t>
  </si>
  <si>
    <t>Участок ремонта 1</t>
  </si>
  <si>
    <t>Участок ремонта 2</t>
  </si>
  <si>
    <t>Ремонт окраски 1</t>
  </si>
  <si>
    <t>Ремонт окраски 2</t>
  </si>
  <si>
    <t>Инспекция</t>
  </si>
  <si>
    <t>Настройка схождения</t>
  </si>
  <si>
    <t>Тормозной стенд</t>
  </si>
  <si>
    <t>Подсборка осей 1</t>
  </si>
  <si>
    <t>Подсборка осей 2</t>
  </si>
  <si>
    <t>Шасси 16</t>
  </si>
  <si>
    <t>Шасси 15</t>
  </si>
  <si>
    <t>Шасси 14</t>
  </si>
  <si>
    <t>Шасси 13</t>
  </si>
  <si>
    <t>Шасси 12</t>
  </si>
  <si>
    <t>Шасси 11</t>
  </si>
  <si>
    <t>Шасси 10</t>
  </si>
  <si>
    <t>Шасси 9</t>
  </si>
  <si>
    <t>Шасси 8</t>
  </si>
  <si>
    <t>Шасси 7</t>
  </si>
  <si>
    <t>Шасси 6</t>
  </si>
  <si>
    <t>Шасси 5</t>
  </si>
  <si>
    <t>Шасси 4</t>
  </si>
  <si>
    <t>Шасси 3</t>
  </si>
  <si>
    <t>Шасси 2</t>
  </si>
  <si>
    <t>Шасси 1</t>
  </si>
  <si>
    <t>Сборка кабин 8</t>
  </si>
  <si>
    <t>Сборка кабин 7</t>
  </si>
  <si>
    <t>Буфер кабин 1</t>
  </si>
  <si>
    <t>Буфер кабин 2</t>
  </si>
  <si>
    <t>Сборка кабин 6</t>
  </si>
  <si>
    <t>Сборка кабин 5</t>
  </si>
  <si>
    <t>Сборка кабин 4</t>
  </si>
  <si>
    <t>Сборка кабин 3</t>
  </si>
  <si>
    <t>Сборка кабин 2</t>
  </si>
  <si>
    <t>Сборка кабин 1</t>
  </si>
  <si>
    <t>Герметик, пластик 17</t>
  </si>
  <si>
    <t>Герметик, пластик 16</t>
  </si>
  <si>
    <t>Герметик, пластик 15</t>
  </si>
  <si>
    <t>Герметик, пластик 14</t>
  </si>
  <si>
    <t>Герметик, пластик 13</t>
  </si>
  <si>
    <t>Герметик, пластик 12</t>
  </si>
  <si>
    <t>Герметик, пластик 11</t>
  </si>
  <si>
    <t>Герметик, пластик 10</t>
  </si>
  <si>
    <t>Герметик, пластик 9</t>
  </si>
  <si>
    <t>Герметик, пластик 8</t>
  </si>
  <si>
    <t>Герметик, пластик 7</t>
  </si>
  <si>
    <t>Герметик, пластик 6</t>
  </si>
  <si>
    <t>Герметик, пластик 5</t>
  </si>
  <si>
    <t>Герметик, пластик 4</t>
  </si>
  <si>
    <t>Герметик, пластик 3</t>
  </si>
  <si>
    <t>Герметик, пластик 2</t>
  </si>
  <si>
    <t>Герметик, пластик 1</t>
  </si>
  <si>
    <t>Буфер после окраски 1</t>
  </si>
  <si>
    <t>Буфер после окраски 2</t>
  </si>
  <si>
    <t>Ожидание окраски 1</t>
  </si>
  <si>
    <t>Ожидание окраски 2</t>
  </si>
  <si>
    <t>Пескоструйная обработка 1</t>
  </si>
  <si>
    <t>Пескоструйная обработка 2</t>
  </si>
  <si>
    <t>Ожидание пескоструя 1</t>
  </si>
  <si>
    <t>Ожидание пескоструя 2</t>
  </si>
  <si>
    <t>Ожидание маскировки</t>
  </si>
  <si>
    <t>Сварка 4</t>
  </si>
  <si>
    <t>Сварка 3</t>
  </si>
  <si>
    <t>Сварка 2</t>
  </si>
  <si>
    <t>Сварка 1</t>
  </si>
  <si>
    <t>Установка надстройки 1</t>
  </si>
  <si>
    <t>Установка надстройки 2</t>
  </si>
  <si>
    <t>Установка надстройки 3</t>
  </si>
  <si>
    <t>Станция</t>
  </si>
  <si>
    <t>Seq</t>
  </si>
  <si>
    <t>Окраска рамы 4</t>
  </si>
  <si>
    <t>Окраска рамы 3</t>
  </si>
  <si>
    <t>Окраска рамы 2</t>
  </si>
  <si>
    <t>Окраска рамы 1</t>
  </si>
  <si>
    <t>Маскировка каркаса</t>
  </si>
  <si>
    <t>Окраска каркаса</t>
  </si>
  <si>
    <t>Body</t>
  </si>
  <si>
    <t>-</t>
  </si>
  <si>
    <t>Наличие на станции</t>
  </si>
  <si>
    <t>+</t>
  </si>
  <si>
    <t>Последний номер кабин</t>
  </si>
  <si>
    <t>Последний номер шасси</t>
  </si>
  <si>
    <t>Разница 3</t>
  </si>
  <si>
    <t>Остановка сварки</t>
  </si>
  <si>
    <t>Да</t>
  </si>
  <si>
    <t>Нет</t>
  </si>
  <si>
    <t>Остановка линии кабин (окраска)</t>
  </si>
  <si>
    <t>Остановка линии сборки кабин</t>
  </si>
  <si>
    <t>Остановка линии сборки шасси</t>
  </si>
  <si>
    <t>Остановка камеры окраски (кабина)</t>
  </si>
  <si>
    <t>Остановка камеры окраски (шасси)</t>
  </si>
  <si>
    <t>Остановка подсборки осей</t>
  </si>
  <si>
    <t>Остановка линии качества</t>
  </si>
  <si>
    <t>Время последнего обновления</t>
  </si>
  <si>
    <t>Разница 20 без буфера</t>
  </si>
  <si>
    <t>нет</t>
  </si>
  <si>
    <t>Время  обновления</t>
  </si>
  <si>
    <t>План</t>
  </si>
  <si>
    <t>Подготовка каркаса к окраске, подгонка пластика</t>
  </si>
  <si>
    <t>Герметик, установка экстерьера</t>
  </si>
  <si>
    <t>Установка надстроек и ремонт сборки</t>
  </si>
  <si>
    <t>Инспекция внешнего вида</t>
  </si>
  <si>
    <t>Окраска кабин</t>
  </si>
  <si>
    <t>Камера окраски</t>
  </si>
  <si>
    <t>ВО №2
Уник. №003
Тягач</t>
  </si>
  <si>
    <t>ЭИ №3
Уник. №004
Самосвал</t>
  </si>
  <si>
    <t>ЭИ №2
Уник. №005
Самосвал</t>
  </si>
  <si>
    <t>ОКР №5
Самосвал</t>
  </si>
  <si>
    <t>ВО №1
Комтранс
Самосвал</t>
  </si>
  <si>
    <t>ОКР №7
Тягач</t>
  </si>
  <si>
    <t>ЭИ №1(Гросс)
Уник. №001
Самосвал</t>
  </si>
  <si>
    <t>ЭИ №2
№005
ККС</t>
  </si>
  <si>
    <t>ЭИ №4
№006
ДКС</t>
  </si>
  <si>
    <t>ЭИ №3
№004
ККС</t>
  </si>
  <si>
    <t>ОКР №6
Самосвал</t>
  </si>
  <si>
    <t>ВО №3 Комтранс
Вахтовый</t>
  </si>
  <si>
    <t>Проверка кабины ОТК</t>
  </si>
  <si>
    <t>Проверка кабины</t>
  </si>
  <si>
    <t>Улица</t>
  </si>
  <si>
    <t>ОКР №10
Борт</t>
  </si>
  <si>
    <r>
      <t xml:space="preserve">ВО №3
№002
ДКС
</t>
    </r>
    <r>
      <rPr>
        <b/>
        <sz val="10"/>
        <color theme="1"/>
        <rFont val="Arial"/>
        <family val="2"/>
        <charset val="204"/>
      </rPr>
      <t>Основная</t>
    </r>
  </si>
  <si>
    <t/>
  </si>
  <si>
    <t>Данные автомобилей</t>
  </si>
  <si>
    <t>Сварка кабин</t>
  </si>
  <si>
    <t>Сборка</t>
  </si>
  <si>
    <t>Участок ремонта / Качество</t>
  </si>
  <si>
    <t>Вход</t>
  </si>
  <si>
    <t>Выход</t>
  </si>
  <si>
    <t>Вход Шасси</t>
  </si>
  <si>
    <t>Вход Кабины</t>
  </si>
  <si>
    <t>№ заказа</t>
  </si>
  <si>
    <t>Уникальный номер изделия</t>
  </si>
  <si>
    <t>VIN</t>
  </si>
  <si>
    <t>Порядковый номер сборки</t>
  </si>
  <si>
    <t>Цвет</t>
  </si>
  <si>
    <t>Спецификация</t>
  </si>
  <si>
    <t>Окраска</t>
  </si>
  <si>
    <t>Шасси</t>
  </si>
  <si>
    <t>Качество</t>
  </si>
  <si>
    <t>Кабины</t>
  </si>
  <si>
    <t>Сварка 5</t>
  </si>
  <si>
    <t>Сварка 6</t>
  </si>
  <si>
    <t>Сейчас на производстве</t>
  </si>
  <si>
    <t>Нет на доске</t>
  </si>
  <si>
    <t>Участок ремонта 3</t>
  </si>
  <si>
    <t>Участок ремонта 4</t>
  </si>
  <si>
    <t>Установка надстройки</t>
  </si>
  <si>
    <t>Сборка кабин</t>
  </si>
  <si>
    <t>Сборка шасси</t>
  </si>
  <si>
    <t>Оси</t>
  </si>
  <si>
    <t>Касество</t>
  </si>
  <si>
    <t>Ремзона</t>
  </si>
  <si>
    <t>Улица 1</t>
  </si>
  <si>
    <t>Улица 2</t>
  </si>
  <si>
    <t>Улица 3</t>
  </si>
  <si>
    <t>Улица 4</t>
  </si>
  <si>
    <t>Улица 5</t>
  </si>
  <si>
    <t>Улица 6</t>
  </si>
  <si>
    <t>Улица 7</t>
  </si>
  <si>
    <t>Улица 8</t>
  </si>
  <si>
    <t>Улица 9</t>
  </si>
  <si>
    <t>Улица 10</t>
  </si>
  <si>
    <t>Улица 11</t>
  </si>
  <si>
    <t>Улица 12</t>
  </si>
  <si>
    <t>Улица 13</t>
  </si>
  <si>
    <t>Улица 14</t>
  </si>
  <si>
    <t>Улица 15</t>
  </si>
  <si>
    <t>Улица 16</t>
  </si>
  <si>
    <t>Улица 17</t>
  </si>
  <si>
    <t>Улица 18</t>
  </si>
  <si>
    <t>Улица 19</t>
  </si>
  <si>
    <t>Улица 20</t>
  </si>
  <si>
    <t>Улица 21</t>
  </si>
  <si>
    <t>Улица 22</t>
  </si>
  <si>
    <t>Улица 23</t>
  </si>
  <si>
    <t>Улица 24</t>
  </si>
  <si>
    <t>Улица 25</t>
  </si>
  <si>
    <t>Улица 26</t>
  </si>
  <si>
    <t>Улица 27</t>
  </si>
  <si>
    <t>Улица 28</t>
  </si>
  <si>
    <t>Улица 29</t>
  </si>
  <si>
    <t>Улица 30</t>
  </si>
  <si>
    <t>Автомобили на улице</t>
  </si>
  <si>
    <t>Тип кабины/ шасси</t>
  </si>
  <si>
    <t>ККН</t>
  </si>
  <si>
    <t>S32A50*38Z******Y6D****M1T****S*****14I*L****ZP******F*1***B**LY****N*I************DF1</t>
  </si>
  <si>
    <t>S34A00*60I******Y6D****M1T****S*****14I*L****II******F*1***B**LY****N*I************DF1</t>
  </si>
  <si>
    <t>S32A00*38I******Y6D****M1T****S*****14I*L****II******F*1***B**LY****N*I************DF1</t>
  </si>
  <si>
    <t>S34A00*48I******Y6D****M1T****S*****14I*L****II******F*1***B**LY****N*I************DF1</t>
  </si>
  <si>
    <t>S31A00*48I******Y6D****M1T****S*****14I*L****II******F*1***B**LY****N*I************DF1</t>
  </si>
  <si>
    <t>S31A00*60I******Y6D****M1T****S*****14I*L****II******F*1***B**LY****N*I************DF1</t>
  </si>
  <si>
    <t>S34A10*35I******Y6D****M1T****S*****14I*L****DR******F*1***B**LY****N*I************DF1</t>
  </si>
  <si>
    <t>S35A10*35I******Y6D****M1T****S*****14I*L****DR******F*1***B**LY****N*I************DF1</t>
  </si>
  <si>
    <t>S32A30*36 ******Y6D****M1T****S*****14I*L****DR******F*1***B**LY****N*I************DF1</t>
  </si>
  <si>
    <t>S34A30*60 ******Y6D****M1T****S*****272*B****DR******F*1***B**LY****N*I************DF1</t>
  </si>
  <si>
    <t>ККС</t>
  </si>
  <si>
    <t>ДКН</t>
  </si>
  <si>
    <t>ДКС</t>
  </si>
  <si>
    <t>ДКВ</t>
  </si>
  <si>
    <t>Тягач</t>
  </si>
  <si>
    <t>Борт</t>
  </si>
  <si>
    <t>Самосвал</t>
  </si>
  <si>
    <t>1</t>
  </si>
  <si>
    <t>2</t>
  </si>
  <si>
    <t>3</t>
  </si>
  <si>
    <t>4</t>
  </si>
  <si>
    <t>5</t>
  </si>
  <si>
    <t>0</t>
  </si>
  <si>
    <t>Лишнее на доске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</si>
</sst>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400]h:mm:ss\ AM/PM"/>
    <numFmt numFmtId="165" formatCode="000"/>
    <numFmt numFmtId="166" formatCode="h:mm;@"/>
    <numFmt numFmtId="167" formatCode="[$-419]d\ mmm;@"/>
  </numFmts>
  <fonts count="4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color theme="1"/>
      <name val="Calibri"/>
      <family val="2"/>
      <scheme val="minor"/>
    </font>
    <font>
      <b/>
      <sz val="22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8"/>
      <color theme="1"/>
      <name val="Arial"/>
      <family val="2"/>
      <charset val="204"/>
    </font>
    <font>
      <b/>
      <sz val="22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4"/>
      <color theme="1"/>
      <name val="Arial"/>
      <family val="2"/>
      <charset val="204"/>
    </font>
    <font>
      <sz val="12"/>
      <color theme="1"/>
      <name val="Arial"/>
      <family val="2"/>
      <charset val="204"/>
    </font>
    <font>
      <sz val="18"/>
      <color theme="1"/>
      <name val="Arial"/>
      <family val="2"/>
      <charset val="204"/>
    </font>
    <font>
      <b/>
      <sz val="18"/>
      <color theme="1"/>
      <name val="Arial"/>
      <family val="2"/>
      <charset val="204"/>
    </font>
    <font>
      <b/>
      <sz val="20"/>
      <color theme="1"/>
      <name val="Arial"/>
      <family val="2"/>
      <charset val="204"/>
    </font>
    <font>
      <b/>
      <sz val="20"/>
      <name val="Arial"/>
      <family val="2"/>
      <charset val="204"/>
    </font>
    <font>
      <sz val="14"/>
      <color theme="1"/>
      <name val="Bahnschrift SemiCondensed"/>
      <family val="2"/>
      <charset val="204"/>
    </font>
    <font>
      <sz val="16"/>
      <color theme="1"/>
      <name val="Bahnschrift SemiCondensed"/>
      <family val="2"/>
      <charset val="204"/>
    </font>
    <font>
      <sz val="18"/>
      <color theme="1"/>
      <name val="Bahnschrift SemiCondensed"/>
      <family val="2"/>
      <charset val="204"/>
    </font>
    <font>
      <sz val="20"/>
      <color theme="1"/>
      <name val="Bahnschrift SemiCondensed"/>
      <family val="2"/>
      <charset val="204"/>
    </font>
    <font>
      <sz val="11"/>
      <color theme="1"/>
      <name val="Bahnschrift SemiCondensed"/>
      <family val="2"/>
      <charset val="204"/>
    </font>
    <font>
      <b/>
      <sz val="28"/>
      <color theme="1"/>
      <name val="Bahnschrift SemiCondensed"/>
      <family val="2"/>
      <charset val="204"/>
    </font>
    <font>
      <b/>
      <sz val="11"/>
      <color theme="1"/>
      <name val="Arial"/>
      <family val="2"/>
      <charset val="204"/>
    </font>
    <font>
      <b/>
      <sz val="14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12"/>
      <name val="Arial"/>
      <family val="2"/>
      <charset val="204"/>
    </font>
    <font>
      <b/>
      <sz val="14"/>
      <name val="Arial"/>
      <family val="2"/>
      <charset val="204"/>
    </font>
    <font>
      <b/>
      <sz val="16"/>
      <color theme="1"/>
      <name val="Bahnschrift SemiCondensed"/>
      <family val="2"/>
      <charset val="204"/>
    </font>
    <font>
      <b/>
      <sz val="12"/>
      <color theme="1"/>
      <name val="Arial"/>
      <family val="2"/>
      <charset val="204"/>
    </font>
    <font>
      <sz val="16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22"/>
      <color theme="1"/>
      <name val="Arial"/>
      <family val="2"/>
      <charset val="204"/>
    </font>
    <font>
      <b/>
      <sz val="24"/>
      <color theme="1"/>
      <name val="Arial"/>
      <family val="2"/>
      <charset val="204"/>
    </font>
    <font>
      <b/>
      <sz val="24"/>
      <name val="Arial"/>
      <family val="2"/>
      <charset val="204"/>
    </font>
    <font>
      <b/>
      <sz val="28"/>
      <color theme="1"/>
      <name val="Arial"/>
      <family val="2"/>
      <charset val="204"/>
    </font>
  </fonts>
  <fills count="24">
    <fill>
      <patternFill patternType="none"/>
    </fill>
    <fill>
      <patternFill patternType="gray125"/>
    </fill>
    <fill>
      <patternFill patternType="solid">
        <fgColor rgb="FFFFF5EB"/>
        <bgColor indexed="64"/>
      </patternFill>
    </fill>
    <fill>
      <patternFill patternType="solid">
        <fgColor rgb="FFECF0F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23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2" borderId="0" xfId="0" applyFont="1" applyFill="1" applyAlignment="1">
      <alignment horizontal="center" vertical="top"/>
    </xf>
    <xf numFmtId="0" fontId="0" fillId="3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20" fontId="0" fillId="0" borderId="0" xfId="0" applyNumberFormat="1"/>
    <xf numFmtId="20" fontId="0" fillId="0" borderId="0" xfId="0" applyNumberFormat="1" applyAlignment="1">
      <alignment horizontal="center" vertical="center"/>
    </xf>
    <xf numFmtId="0" fontId="3" fillId="3" borderId="0" xfId="0" applyFont="1" applyFill="1" applyAlignment="1">
      <alignment horizontal="center"/>
    </xf>
    <xf numFmtId="164" fontId="0" fillId="0" borderId="0" xfId="0" applyNumberForma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64" fontId="9" fillId="2" borderId="0" xfId="0" applyNumberFormat="1" applyFont="1" applyFill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4" fontId="10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13" fillId="0" borderId="0" xfId="0" applyFont="1"/>
    <xf numFmtId="0" fontId="13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2" borderId="0" xfId="0" applyFont="1" applyFill="1"/>
    <xf numFmtId="14" fontId="0" fillId="0" borderId="0" xfId="0" applyNumberFormat="1"/>
    <xf numFmtId="0" fontId="15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vertical="center"/>
    </xf>
    <xf numFmtId="165" fontId="16" fillId="2" borderId="0" xfId="0" applyNumberFormat="1" applyFont="1" applyFill="1" applyAlignment="1">
      <alignment horizontal="center" vertical="center"/>
    </xf>
    <xf numFmtId="165" fontId="16" fillId="2" borderId="0" xfId="0" applyNumberFormat="1" applyFont="1" applyFill="1" applyAlignment="1">
      <alignment vertical="center"/>
    </xf>
    <xf numFmtId="165" fontId="16" fillId="2" borderId="2" xfId="0" applyNumberFormat="1" applyFont="1" applyFill="1" applyBorder="1" applyAlignment="1">
      <alignment vertical="center"/>
    </xf>
    <xf numFmtId="165" fontId="18" fillId="2" borderId="0" xfId="0" applyNumberFormat="1" applyFont="1" applyFill="1" applyAlignment="1">
      <alignment vertical="center"/>
    </xf>
    <xf numFmtId="165" fontId="18" fillId="2" borderId="0" xfId="0" applyNumberFormat="1" applyFont="1" applyFill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165" fontId="18" fillId="2" borderId="8" xfId="0" applyNumberFormat="1" applyFont="1" applyFill="1" applyBorder="1" applyAlignment="1">
      <alignment horizontal="center" vertical="center"/>
    </xf>
    <xf numFmtId="165" fontId="17" fillId="8" borderId="1" xfId="0" applyNumberFormat="1" applyFont="1" applyFill="1" applyBorder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24" fillId="2" borderId="0" xfId="0" applyFont="1" applyFill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4" fillId="0" borderId="0" xfId="0" applyFont="1" applyAlignment="1">
      <alignment vertical="center"/>
    </xf>
    <xf numFmtId="0" fontId="28" fillId="0" borderId="1" xfId="0" applyFont="1" applyBorder="1" applyAlignment="1">
      <alignment horizontal="center" vertical="center"/>
    </xf>
    <xf numFmtId="0" fontId="14" fillId="4" borderId="1" xfId="0" applyFont="1" applyFill="1" applyBorder="1" applyAlignment="1">
      <alignment vertical="center"/>
    </xf>
    <xf numFmtId="0" fontId="14" fillId="10" borderId="1" xfId="0" applyFont="1" applyFill="1" applyBorder="1" applyAlignment="1">
      <alignment vertical="center"/>
    </xf>
    <xf numFmtId="165" fontId="17" fillId="0" borderId="1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165" fontId="27" fillId="0" borderId="1" xfId="0" applyNumberFormat="1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 wrapText="1"/>
    </xf>
    <xf numFmtId="165" fontId="17" fillId="10" borderId="1" xfId="0" applyNumberFormat="1" applyFont="1" applyFill="1" applyBorder="1" applyAlignment="1">
      <alignment horizontal="center" vertical="center"/>
    </xf>
    <xf numFmtId="165" fontId="28" fillId="10" borderId="1" xfId="0" applyNumberFormat="1" applyFont="1" applyFill="1" applyBorder="1" applyAlignment="1">
      <alignment horizontal="center" vertical="center"/>
    </xf>
    <xf numFmtId="165" fontId="18" fillId="11" borderId="1" xfId="0" applyNumberFormat="1" applyFont="1" applyFill="1" applyBorder="1" applyAlignment="1">
      <alignment horizontal="center" vertical="center"/>
    </xf>
    <xf numFmtId="165" fontId="13" fillId="2" borderId="0" xfId="0" applyNumberFormat="1" applyFont="1" applyFill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65" fontId="17" fillId="9" borderId="1" xfId="0" applyNumberFormat="1" applyFont="1" applyFill="1" applyBorder="1" applyAlignment="1">
      <alignment horizontal="center" vertical="center"/>
    </xf>
    <xf numFmtId="0" fontId="21" fillId="2" borderId="0" xfId="0" applyFont="1" applyFill="1" applyAlignment="1">
      <alignment vertical="center"/>
    </xf>
    <xf numFmtId="0" fontId="13" fillId="2" borderId="1" xfId="0" applyFont="1" applyFill="1" applyBorder="1" applyAlignment="1">
      <alignment horizontal="center" vertical="center"/>
    </xf>
    <xf numFmtId="165" fontId="19" fillId="2" borderId="0" xfId="0" applyNumberFormat="1" applyFont="1" applyFill="1" applyAlignment="1">
      <alignment vertical="center" textRotation="90"/>
    </xf>
    <xf numFmtId="0" fontId="20" fillId="2" borderId="0" xfId="0" applyFont="1" applyFill="1" applyAlignment="1">
      <alignment horizontal="center" vertical="center" wrapText="1"/>
    </xf>
    <xf numFmtId="165" fontId="9" fillId="4" borderId="0" xfId="0" applyNumberFormat="1" applyFont="1" applyFill="1" applyAlignment="1">
      <alignment horizontal="center" vertical="center" wrapText="1"/>
    </xf>
    <xf numFmtId="165" fontId="9" fillId="4" borderId="0" xfId="0" applyNumberFormat="1" applyFont="1" applyFill="1" applyAlignment="1">
      <alignment horizontal="center" vertical="center"/>
    </xf>
    <xf numFmtId="165" fontId="29" fillId="4" borderId="0" xfId="0" applyNumberFormat="1" applyFont="1" applyFill="1" applyAlignment="1">
      <alignment horizontal="center" vertical="center" textRotation="90" wrapText="1"/>
    </xf>
    <xf numFmtId="0" fontId="28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vertical="center"/>
    </xf>
    <xf numFmtId="0" fontId="31" fillId="2" borderId="12" xfId="0" applyFont="1" applyFill="1" applyBorder="1" applyAlignment="1">
      <alignment vertical="center"/>
    </xf>
    <xf numFmtId="0" fontId="28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vertical="center" wrapText="1"/>
    </xf>
    <xf numFmtId="0" fontId="28" fillId="2" borderId="0" xfId="0" applyFont="1" applyFill="1" applyAlignment="1">
      <alignment vertical="top" wrapText="1"/>
    </xf>
    <xf numFmtId="165" fontId="27" fillId="2" borderId="0" xfId="0" applyNumberFormat="1" applyFont="1" applyFill="1" applyAlignment="1">
      <alignment horizontal="center" vertical="center"/>
    </xf>
    <xf numFmtId="164" fontId="13" fillId="0" borderId="0" xfId="0" applyNumberFormat="1" applyFont="1"/>
    <xf numFmtId="164" fontId="33" fillId="0" borderId="0" xfId="0" applyNumberFormat="1" applyFont="1" applyAlignment="1">
      <alignment horizontal="center" vertical="center"/>
    </xf>
    <xf numFmtId="166" fontId="33" fillId="0" borderId="0" xfId="0" applyNumberFormat="1" applyFont="1" applyAlignment="1">
      <alignment horizontal="center" vertical="center"/>
    </xf>
    <xf numFmtId="0" fontId="20" fillId="2" borderId="12" xfId="0" applyFont="1" applyFill="1" applyBorder="1" applyAlignment="1">
      <alignment horizontal="center" vertical="center"/>
    </xf>
    <xf numFmtId="0" fontId="20" fillId="2" borderId="12" xfId="0" applyFont="1" applyFill="1" applyBorder="1" applyAlignment="1">
      <alignment horizontal="centerContinuous" vertical="center"/>
    </xf>
    <xf numFmtId="0" fontId="0" fillId="0" borderId="1" xfId="0" applyBorder="1" applyAlignment="1">
      <alignment horizontal="center" vertical="center"/>
    </xf>
    <xf numFmtId="0" fontId="0" fillId="16" borderId="20" xfId="0" applyFill="1" applyBorder="1" applyAlignment="1">
      <alignment horizontal="center" vertical="center"/>
    </xf>
    <xf numFmtId="165" fontId="2" fillId="16" borderId="5" xfId="0" applyNumberFormat="1" applyFont="1" applyFill="1" applyBorder="1" applyAlignment="1">
      <alignment horizontal="center" vertical="center" wrapText="1"/>
    </xf>
    <xf numFmtId="0" fontId="0" fillId="16" borderId="1" xfId="0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 wrapText="1"/>
    </xf>
    <xf numFmtId="14" fontId="0" fillId="16" borderId="20" xfId="0" applyNumberFormat="1" applyFill="1" applyBorder="1" applyAlignment="1">
      <alignment horizontal="center" vertical="center"/>
    </xf>
    <xf numFmtId="14" fontId="0" fillId="16" borderId="1" xfId="0" applyNumberForma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4" fontId="0" fillId="0" borderId="20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20" xfId="0" applyFill="1" applyBorder="1" applyAlignment="1">
      <alignment horizontal="center" vertical="center"/>
    </xf>
    <xf numFmtId="0" fontId="35" fillId="15" borderId="17" xfId="0" applyFont="1" applyFill="1" applyBorder="1" applyAlignment="1">
      <alignment horizontal="center" vertical="center" wrapText="1"/>
    </xf>
    <xf numFmtId="167" fontId="0" fillId="0" borderId="20" xfId="0" applyNumberForma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65" fontId="18" fillId="4" borderId="7" xfId="0" applyNumberFormat="1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165" fontId="14" fillId="0" borderId="1" xfId="0" applyNumberFormat="1" applyFont="1" applyBorder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4" fillId="10" borderId="5" xfId="0" applyFont="1" applyFill="1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13" fillId="0" borderId="25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49" fontId="13" fillId="0" borderId="24" xfId="0" applyNumberFormat="1" applyFont="1" applyBorder="1" applyAlignment="1">
      <alignment horizontal="center" vertical="center"/>
    </xf>
    <xf numFmtId="49" fontId="13" fillId="0" borderId="20" xfId="0" applyNumberFormat="1" applyFont="1" applyBorder="1" applyAlignment="1">
      <alignment horizontal="center" vertical="center"/>
    </xf>
    <xf numFmtId="49" fontId="13" fillId="0" borderId="27" xfId="0" applyNumberFormat="1" applyFont="1" applyBorder="1" applyAlignment="1">
      <alignment horizontal="center" vertical="center"/>
    </xf>
    <xf numFmtId="165" fontId="27" fillId="4" borderId="3" xfId="0" applyNumberFormat="1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165" fontId="18" fillId="8" borderId="7" xfId="0" applyNumberFormat="1" applyFont="1" applyFill="1" applyBorder="1" applyAlignment="1">
      <alignment horizontal="center" vertical="center"/>
    </xf>
    <xf numFmtId="165" fontId="18" fillId="21" borderId="7" xfId="0" applyNumberFormat="1" applyFont="1" applyFill="1" applyBorder="1" applyAlignment="1">
      <alignment horizontal="center" vertical="center"/>
    </xf>
    <xf numFmtId="165" fontId="17" fillId="21" borderId="1" xfId="0" applyNumberFormat="1" applyFont="1" applyFill="1" applyBorder="1" applyAlignment="1">
      <alignment horizontal="center" vertical="center"/>
    </xf>
    <xf numFmtId="165" fontId="32" fillId="2" borderId="0" xfId="0" applyNumberFormat="1" applyFont="1" applyFill="1" applyAlignment="1">
      <alignment vertical="center"/>
    </xf>
    <xf numFmtId="165" fontId="32" fillId="4" borderId="3" xfId="0" applyNumberFormat="1" applyFont="1" applyFill="1" applyBorder="1" applyAlignment="1">
      <alignment horizontal="center" vertical="center"/>
    </xf>
    <xf numFmtId="165" fontId="32" fillId="2" borderId="0" xfId="0" applyNumberFormat="1" applyFont="1" applyFill="1" applyAlignment="1">
      <alignment horizontal="center" vertical="center"/>
    </xf>
    <xf numFmtId="165" fontId="32" fillId="21" borderId="3" xfId="0" applyNumberFormat="1" applyFont="1" applyFill="1" applyBorder="1" applyAlignment="1">
      <alignment horizontal="center" vertical="center"/>
    </xf>
    <xf numFmtId="0" fontId="32" fillId="2" borderId="0" xfId="0" applyFont="1" applyFill="1" applyAlignment="1">
      <alignment horizontal="center" vertical="center"/>
    </xf>
    <xf numFmtId="165" fontId="32" fillId="8" borderId="3" xfId="0" applyNumberFormat="1" applyFont="1" applyFill="1" applyBorder="1" applyAlignment="1">
      <alignment horizontal="center" vertical="center"/>
    </xf>
    <xf numFmtId="0" fontId="14" fillId="22" borderId="5" xfId="0" applyFont="1" applyFill="1" applyBorder="1" applyAlignment="1">
      <alignment vertical="center"/>
    </xf>
    <xf numFmtId="0" fontId="14" fillId="8" borderId="5" xfId="0" applyFont="1" applyFill="1" applyBorder="1" applyAlignment="1">
      <alignment vertical="center"/>
    </xf>
    <xf numFmtId="0" fontId="14" fillId="11" borderId="5" xfId="0" applyFont="1" applyFill="1" applyBorder="1" applyAlignment="1">
      <alignment vertical="center"/>
    </xf>
    <xf numFmtId="0" fontId="14" fillId="17" borderId="5" xfId="0" applyFont="1" applyFill="1" applyBorder="1" applyAlignment="1">
      <alignment vertical="center"/>
    </xf>
    <xf numFmtId="0" fontId="14" fillId="21" borderId="5" xfId="0" applyFont="1" applyFill="1" applyBorder="1" applyAlignment="1">
      <alignment vertical="center"/>
    </xf>
    <xf numFmtId="0" fontId="14" fillId="8" borderId="13" xfId="0" applyFont="1" applyFill="1" applyBorder="1" applyAlignment="1">
      <alignment vertical="center"/>
    </xf>
    <xf numFmtId="0" fontId="14" fillId="11" borderId="6" xfId="0" applyFont="1" applyFill="1" applyBorder="1" applyAlignment="1">
      <alignment vertical="center"/>
    </xf>
    <xf numFmtId="0" fontId="14" fillId="11" borderId="31" xfId="0" applyFont="1" applyFill="1" applyBorder="1" applyAlignment="1">
      <alignment vertical="center"/>
    </xf>
    <xf numFmtId="165" fontId="18" fillId="23" borderId="7" xfId="0" applyNumberFormat="1" applyFont="1" applyFill="1" applyBorder="1" applyAlignment="1">
      <alignment horizontal="center" vertical="center"/>
    </xf>
    <xf numFmtId="165" fontId="32" fillId="23" borderId="3" xfId="0" applyNumberFormat="1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39" fillId="2" borderId="0" xfId="0" applyFont="1" applyFill="1" applyAlignment="1">
      <alignment vertical="center"/>
    </xf>
    <xf numFmtId="0" fontId="14" fillId="2" borderId="0" xfId="0" applyFont="1" applyFill="1" applyBorder="1" applyAlignment="1">
      <alignment wrapText="1"/>
    </xf>
    <xf numFmtId="0" fontId="27" fillId="0" borderId="1" xfId="0" applyFont="1" applyBorder="1" applyAlignment="1">
      <alignment horizontal="center" vertical="center"/>
    </xf>
    <xf numFmtId="0" fontId="14" fillId="2" borderId="12" xfId="0" applyFont="1" applyFill="1" applyBorder="1" applyAlignment="1">
      <alignment horizontal="centerContinuous" vertical="center"/>
    </xf>
    <xf numFmtId="0" fontId="16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vertical="center" wrapText="1"/>
    </xf>
    <xf numFmtId="0" fontId="33" fillId="2" borderId="0" xfId="0" applyFont="1" applyFill="1" applyAlignment="1">
      <alignment horizontal="left" vertical="center"/>
    </xf>
    <xf numFmtId="0" fontId="27" fillId="0" borderId="7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165" fontId="13" fillId="0" borderId="0" xfId="0" applyNumberFormat="1" applyFont="1"/>
    <xf numFmtId="0" fontId="0" fillId="3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1" fillId="0" borderId="21" xfId="0" applyFont="1" applyBorder="1" applyAlignment="1">
      <alignment horizontal="center" vertical="center" textRotation="90"/>
    </xf>
    <xf numFmtId="0" fontId="11" fillId="0" borderId="22" xfId="0" applyFont="1" applyBorder="1" applyAlignment="1">
      <alignment horizontal="center" vertical="center" textRotation="90"/>
    </xf>
    <xf numFmtId="0" fontId="11" fillId="0" borderId="23" xfId="0" applyFont="1" applyBorder="1" applyAlignment="1">
      <alignment horizontal="center" vertical="center" textRotation="90"/>
    </xf>
    <xf numFmtId="165" fontId="37" fillId="4" borderId="11" xfId="0" applyNumberFormat="1" applyFont="1" applyFill="1" applyBorder="1" applyAlignment="1">
      <alignment horizontal="center" vertical="center" wrapText="1"/>
    </xf>
    <xf numFmtId="165" fontId="37" fillId="4" borderId="12" xfId="0" applyNumberFormat="1" applyFont="1" applyFill="1" applyBorder="1" applyAlignment="1">
      <alignment horizontal="center" vertical="center" wrapText="1"/>
    </xf>
    <xf numFmtId="165" fontId="37" fillId="4" borderId="13" xfId="0" applyNumberFormat="1" applyFont="1" applyFill="1" applyBorder="1" applyAlignment="1">
      <alignment horizontal="center" vertical="center" wrapText="1"/>
    </xf>
    <xf numFmtId="165" fontId="27" fillId="4" borderId="10" xfId="0" applyNumberFormat="1" applyFont="1" applyFill="1" applyBorder="1" applyAlignment="1">
      <alignment horizontal="center" vertical="center" wrapText="1"/>
    </xf>
    <xf numFmtId="165" fontId="27" fillId="4" borderId="2" xfId="0" applyNumberFormat="1" applyFont="1" applyFill="1" applyBorder="1" applyAlignment="1">
      <alignment horizontal="center" vertical="center" wrapText="1"/>
    </xf>
    <xf numFmtId="165" fontId="27" fillId="4" borderId="6" xfId="0" applyNumberFormat="1" applyFont="1" applyFill="1" applyBorder="1" applyAlignment="1">
      <alignment horizontal="center" vertical="center" wrapText="1"/>
    </xf>
    <xf numFmtId="0" fontId="28" fillId="18" borderId="1" xfId="0" applyFont="1" applyFill="1" applyBorder="1" applyAlignment="1">
      <alignment horizontal="center" vertical="center"/>
    </xf>
    <xf numFmtId="0" fontId="33" fillId="2" borderId="0" xfId="0" applyFont="1" applyFill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0" fillId="2" borderId="0" xfId="0" applyFont="1" applyFill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 wrapText="1"/>
    </xf>
    <xf numFmtId="0" fontId="28" fillId="20" borderId="1" xfId="0" applyFont="1" applyFill="1" applyBorder="1" applyAlignment="1">
      <alignment horizontal="center" vertical="center"/>
    </xf>
    <xf numFmtId="0" fontId="36" fillId="0" borderId="21" xfId="0" applyFont="1" applyBorder="1" applyAlignment="1">
      <alignment horizontal="center" vertical="center" textRotation="90"/>
    </xf>
    <xf numFmtId="0" fontId="36" fillId="0" borderId="22" xfId="0" applyFont="1" applyBorder="1" applyAlignment="1">
      <alignment horizontal="center" vertical="center" textRotation="90"/>
    </xf>
    <xf numFmtId="0" fontId="36" fillId="0" borderId="23" xfId="0" applyFont="1" applyBorder="1" applyAlignment="1">
      <alignment horizontal="center" vertical="center" textRotation="90"/>
    </xf>
    <xf numFmtId="0" fontId="11" fillId="0" borderId="30" xfId="0" applyFont="1" applyBorder="1" applyAlignment="1">
      <alignment horizontal="center" vertical="center" textRotation="90"/>
    </xf>
    <xf numFmtId="0" fontId="17" fillId="0" borderId="21" xfId="0" applyFont="1" applyBorder="1" applyAlignment="1">
      <alignment horizontal="center" vertical="center" textRotation="90"/>
    </xf>
    <xf numFmtId="0" fontId="17" fillId="0" borderId="23" xfId="0" applyFont="1" applyBorder="1" applyAlignment="1">
      <alignment horizontal="center" vertical="center" textRotation="90"/>
    </xf>
    <xf numFmtId="0" fontId="17" fillId="0" borderId="22" xfId="0" applyFont="1" applyBorder="1" applyAlignment="1">
      <alignment horizontal="center" vertical="center" textRotation="90"/>
    </xf>
    <xf numFmtId="14" fontId="26" fillId="2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165" fontId="17" fillId="9" borderId="29" xfId="0" applyNumberFormat="1" applyFont="1" applyFill="1" applyBorder="1" applyAlignment="1">
      <alignment horizontal="center" vertical="center"/>
    </xf>
    <xf numFmtId="165" fontId="17" fillId="9" borderId="5" xfId="0" applyNumberFormat="1" applyFont="1" applyFill="1" applyBorder="1" applyAlignment="1">
      <alignment horizontal="center" vertical="center"/>
    </xf>
    <xf numFmtId="165" fontId="18" fillId="4" borderId="11" xfId="0" applyNumberFormat="1" applyFont="1" applyFill="1" applyBorder="1" applyAlignment="1">
      <alignment horizontal="center" vertical="center"/>
    </xf>
    <xf numFmtId="165" fontId="18" fillId="4" borderId="13" xfId="0" applyNumberFormat="1" applyFont="1" applyFill="1" applyBorder="1" applyAlignment="1">
      <alignment horizontal="center" vertical="center"/>
    </xf>
    <xf numFmtId="165" fontId="32" fillId="4" borderId="10" xfId="0" applyNumberFormat="1" applyFont="1" applyFill="1" applyBorder="1" applyAlignment="1">
      <alignment horizontal="center" vertical="center"/>
    </xf>
    <xf numFmtId="165" fontId="32" fillId="4" borderId="6" xfId="0" applyNumberFormat="1" applyFont="1" applyFill="1" applyBorder="1" applyAlignment="1">
      <alignment horizontal="center" vertical="center"/>
    </xf>
    <xf numFmtId="165" fontId="30" fillId="4" borderId="13" xfId="0" applyNumberFormat="1" applyFont="1" applyFill="1" applyBorder="1" applyAlignment="1">
      <alignment horizontal="center" vertical="center" textRotation="90"/>
    </xf>
    <xf numFmtId="165" fontId="30" fillId="4" borderId="14" xfId="0" applyNumberFormat="1" applyFont="1" applyFill="1" applyBorder="1" applyAlignment="1">
      <alignment horizontal="center" vertical="center" textRotation="90"/>
    </xf>
    <xf numFmtId="165" fontId="30" fillId="4" borderId="6" xfId="0" applyNumberFormat="1" applyFont="1" applyFill="1" applyBorder="1" applyAlignment="1">
      <alignment horizontal="center" vertical="center" textRotation="90"/>
    </xf>
    <xf numFmtId="165" fontId="30" fillId="21" borderId="13" xfId="0" applyNumberFormat="1" applyFont="1" applyFill="1" applyBorder="1" applyAlignment="1">
      <alignment horizontal="center" vertical="center" textRotation="90"/>
    </xf>
    <xf numFmtId="165" fontId="30" fillId="21" borderId="14" xfId="0" applyNumberFormat="1" applyFont="1" applyFill="1" applyBorder="1" applyAlignment="1">
      <alignment horizontal="center" vertical="center" textRotation="90"/>
    </xf>
    <xf numFmtId="165" fontId="30" fillId="21" borderId="6" xfId="0" applyNumberFormat="1" applyFont="1" applyFill="1" applyBorder="1" applyAlignment="1">
      <alignment horizontal="center" vertical="center" textRotation="90"/>
    </xf>
    <xf numFmtId="165" fontId="38" fillId="21" borderId="11" xfId="0" applyNumberFormat="1" applyFont="1" applyFill="1" applyBorder="1" applyAlignment="1">
      <alignment horizontal="center" vertical="center" textRotation="90"/>
    </xf>
    <xf numFmtId="165" fontId="38" fillId="21" borderId="9" xfId="0" applyNumberFormat="1" applyFont="1" applyFill="1" applyBorder="1" applyAlignment="1">
      <alignment horizontal="center" vertical="center" textRotation="90"/>
    </xf>
    <xf numFmtId="165" fontId="38" fillId="21" borderId="10" xfId="0" applyNumberFormat="1" applyFont="1" applyFill="1" applyBorder="1" applyAlignment="1">
      <alignment horizontal="center" vertical="center" textRotation="90"/>
    </xf>
    <xf numFmtId="165" fontId="38" fillId="4" borderId="11" xfId="0" applyNumberFormat="1" applyFont="1" applyFill="1" applyBorder="1" applyAlignment="1">
      <alignment horizontal="center" vertical="center" textRotation="90"/>
    </xf>
    <xf numFmtId="165" fontId="38" fillId="4" borderId="9" xfId="0" applyNumberFormat="1" applyFont="1" applyFill="1" applyBorder="1" applyAlignment="1">
      <alignment horizontal="center" vertical="center" textRotation="90"/>
    </xf>
    <xf numFmtId="165" fontId="38" fillId="4" borderId="10" xfId="0" applyNumberFormat="1" applyFont="1" applyFill="1" applyBorder="1" applyAlignment="1">
      <alignment horizontal="center" vertical="center" textRotation="90"/>
    </xf>
    <xf numFmtId="165" fontId="38" fillId="23" borderId="11" xfId="0" applyNumberFormat="1" applyFont="1" applyFill="1" applyBorder="1" applyAlignment="1">
      <alignment horizontal="center" vertical="center" textRotation="90"/>
    </xf>
    <xf numFmtId="165" fontId="38" fillId="23" borderId="9" xfId="0" applyNumberFormat="1" applyFont="1" applyFill="1" applyBorder="1" applyAlignment="1">
      <alignment horizontal="center" vertical="center" textRotation="90"/>
    </xf>
    <xf numFmtId="165" fontId="38" fillId="23" borderId="10" xfId="0" applyNumberFormat="1" applyFont="1" applyFill="1" applyBorder="1" applyAlignment="1">
      <alignment horizontal="center" vertical="center" textRotation="90"/>
    </xf>
    <xf numFmtId="165" fontId="18" fillId="21" borderId="11" xfId="0" applyNumberFormat="1" applyFont="1" applyFill="1" applyBorder="1" applyAlignment="1">
      <alignment horizontal="center" vertical="center"/>
    </xf>
    <xf numFmtId="165" fontId="18" fillId="21" borderId="13" xfId="0" applyNumberFormat="1" applyFont="1" applyFill="1" applyBorder="1" applyAlignment="1">
      <alignment horizontal="center" vertical="center"/>
    </xf>
    <xf numFmtId="165" fontId="32" fillId="21" borderId="10" xfId="0" applyNumberFormat="1" applyFont="1" applyFill="1" applyBorder="1" applyAlignment="1">
      <alignment horizontal="center" vertical="center"/>
    </xf>
    <xf numFmtId="165" fontId="32" fillId="21" borderId="6" xfId="0" applyNumberFormat="1" applyFont="1" applyFill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164" fontId="26" fillId="2" borderId="0" xfId="0" applyNumberFormat="1" applyFont="1" applyFill="1" applyAlignment="1">
      <alignment horizontal="left" vertical="center"/>
    </xf>
    <xf numFmtId="165" fontId="30" fillId="23" borderId="13" xfId="0" applyNumberFormat="1" applyFont="1" applyFill="1" applyBorder="1" applyAlignment="1">
      <alignment horizontal="center" vertical="center" textRotation="90"/>
    </xf>
    <xf numFmtId="165" fontId="30" fillId="23" borderId="14" xfId="0" applyNumberFormat="1" applyFont="1" applyFill="1" applyBorder="1" applyAlignment="1">
      <alignment horizontal="center" vertical="center" textRotation="90"/>
    </xf>
    <xf numFmtId="165" fontId="30" fillId="23" borderId="6" xfId="0" applyNumberFormat="1" applyFont="1" applyFill="1" applyBorder="1" applyAlignment="1">
      <alignment horizontal="center" vertical="center" textRotation="90"/>
    </xf>
    <xf numFmtId="0" fontId="14" fillId="2" borderId="0" xfId="0" applyFont="1" applyFill="1" applyAlignment="1">
      <alignment horizontal="center" vertical="center"/>
    </xf>
    <xf numFmtId="165" fontId="30" fillId="11" borderId="1" xfId="0" applyNumberFormat="1" applyFont="1" applyFill="1" applyBorder="1" applyAlignment="1">
      <alignment horizontal="center" vertical="center" textRotation="90" wrapText="1"/>
    </xf>
    <xf numFmtId="165" fontId="30" fillId="11" borderId="11" xfId="0" applyNumberFormat="1" applyFont="1" applyFill="1" applyBorder="1" applyAlignment="1">
      <alignment horizontal="center" vertical="center" textRotation="90" wrapText="1"/>
    </xf>
    <xf numFmtId="165" fontId="30" fillId="11" borderId="13" xfId="0" applyNumberFormat="1" applyFont="1" applyFill="1" applyBorder="1" applyAlignment="1">
      <alignment horizontal="center" vertical="center" textRotation="90" wrapText="1"/>
    </xf>
    <xf numFmtId="165" fontId="30" fillId="11" borderId="9" xfId="0" applyNumberFormat="1" applyFont="1" applyFill="1" applyBorder="1" applyAlignment="1">
      <alignment horizontal="center" vertical="center" textRotation="90" wrapText="1"/>
    </xf>
    <xf numFmtId="165" fontId="30" fillId="11" borderId="14" xfId="0" applyNumberFormat="1" applyFont="1" applyFill="1" applyBorder="1" applyAlignment="1">
      <alignment horizontal="center" vertical="center" textRotation="90" wrapText="1"/>
    </xf>
    <xf numFmtId="165" fontId="30" fillId="11" borderId="10" xfId="0" applyNumberFormat="1" applyFont="1" applyFill="1" applyBorder="1" applyAlignment="1">
      <alignment horizontal="center" vertical="center" textRotation="90" wrapText="1"/>
    </xf>
    <xf numFmtId="165" fontId="30" fillId="11" borderId="6" xfId="0" applyNumberFormat="1" applyFont="1" applyFill="1" applyBorder="1" applyAlignment="1">
      <alignment horizontal="center" vertical="center" textRotation="90" wrapText="1"/>
    </xf>
    <xf numFmtId="165" fontId="30" fillId="11" borderId="0" xfId="0" applyNumberFormat="1" applyFont="1" applyFill="1" applyBorder="1" applyAlignment="1">
      <alignment horizontal="center" vertical="center" textRotation="90" wrapText="1"/>
    </xf>
    <xf numFmtId="0" fontId="28" fillId="2" borderId="2" xfId="0" applyFont="1" applyFill="1" applyBorder="1" applyAlignment="1">
      <alignment horizontal="center" vertical="center"/>
    </xf>
    <xf numFmtId="0" fontId="28" fillId="2" borderId="0" xfId="0" applyFont="1" applyFill="1" applyAlignment="1">
      <alignment horizontal="center" vertical="top" wrapText="1"/>
    </xf>
    <xf numFmtId="165" fontId="30" fillId="11" borderId="1" xfId="0" applyNumberFormat="1" applyFont="1" applyFill="1" applyBorder="1" applyAlignment="1">
      <alignment horizontal="center" vertical="center" textRotation="90"/>
    </xf>
    <xf numFmtId="0" fontId="32" fillId="2" borderId="9" xfId="0" applyFont="1" applyFill="1" applyBorder="1" applyAlignment="1">
      <alignment horizontal="center" vertical="center" wrapText="1"/>
    </xf>
    <xf numFmtId="0" fontId="32" fillId="2" borderId="0" xfId="0" applyFont="1" applyFill="1" applyAlignment="1">
      <alignment horizontal="center" vertical="center" wrapText="1"/>
    </xf>
    <xf numFmtId="0" fontId="28" fillId="2" borderId="0" xfId="0" applyFont="1" applyFill="1" applyAlignment="1">
      <alignment horizontal="center" wrapText="1"/>
    </xf>
    <xf numFmtId="0" fontId="32" fillId="13" borderId="11" xfId="0" applyFont="1" applyFill="1" applyBorder="1" applyAlignment="1">
      <alignment horizontal="center" vertical="center" wrapText="1"/>
    </xf>
    <xf numFmtId="0" fontId="32" fillId="13" borderId="13" xfId="0" applyFont="1" applyFill="1" applyBorder="1" applyAlignment="1">
      <alignment horizontal="center" vertical="center"/>
    </xf>
    <xf numFmtId="0" fontId="32" fillId="13" borderId="10" xfId="0" applyFont="1" applyFill="1" applyBorder="1" applyAlignment="1">
      <alignment horizontal="center" vertical="center"/>
    </xf>
    <xf numFmtId="0" fontId="32" fillId="13" borderId="6" xfId="0" applyFont="1" applyFill="1" applyBorder="1" applyAlignment="1">
      <alignment horizontal="center" vertical="center"/>
    </xf>
    <xf numFmtId="165" fontId="32" fillId="12" borderId="11" xfId="0" applyNumberFormat="1" applyFont="1" applyFill="1" applyBorder="1" applyAlignment="1">
      <alignment horizontal="center" vertical="center" wrapText="1"/>
    </xf>
    <xf numFmtId="165" fontId="32" fillId="12" borderId="13" xfId="0" applyNumberFormat="1" applyFont="1" applyFill="1" applyBorder="1" applyAlignment="1">
      <alignment horizontal="center" vertical="center" wrapText="1"/>
    </xf>
    <xf numFmtId="165" fontId="32" fillId="12" borderId="10" xfId="0" applyNumberFormat="1" applyFont="1" applyFill="1" applyBorder="1" applyAlignment="1">
      <alignment horizontal="center" vertical="center" wrapText="1"/>
    </xf>
    <xf numFmtId="165" fontId="32" fillId="12" borderId="6" xfId="0" applyNumberFormat="1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center" vertical="center"/>
    </xf>
    <xf numFmtId="165" fontId="27" fillId="11" borderId="11" xfId="0" applyNumberFormat="1" applyFont="1" applyFill="1" applyBorder="1" applyAlignment="1">
      <alignment horizontal="center" vertical="center" wrapText="1"/>
    </xf>
    <xf numFmtId="165" fontId="27" fillId="11" borderId="12" xfId="0" applyNumberFormat="1" applyFont="1" applyFill="1" applyBorder="1" applyAlignment="1">
      <alignment horizontal="center" vertical="center" wrapText="1"/>
    </xf>
    <xf numFmtId="165" fontId="27" fillId="11" borderId="13" xfId="0" applyNumberFormat="1" applyFont="1" applyFill="1" applyBorder="1" applyAlignment="1">
      <alignment horizontal="center" vertical="center" wrapText="1"/>
    </xf>
    <xf numFmtId="165" fontId="27" fillId="11" borderId="10" xfId="0" applyNumberFormat="1" applyFont="1" applyFill="1" applyBorder="1" applyAlignment="1">
      <alignment horizontal="center" vertical="center" wrapText="1"/>
    </xf>
    <xf numFmtId="165" fontId="27" fillId="11" borderId="2" xfId="0" applyNumberFormat="1" applyFont="1" applyFill="1" applyBorder="1" applyAlignment="1">
      <alignment horizontal="center" vertical="center" wrapText="1"/>
    </xf>
    <xf numFmtId="165" fontId="27" fillId="11" borderId="6" xfId="0" applyNumberFormat="1" applyFont="1" applyFill="1" applyBorder="1" applyAlignment="1">
      <alignment horizontal="center" vertical="center" wrapText="1"/>
    </xf>
    <xf numFmtId="165" fontId="27" fillId="11" borderId="12" xfId="0" applyNumberFormat="1" applyFont="1" applyFill="1" applyBorder="1" applyAlignment="1">
      <alignment horizontal="center" vertical="center"/>
    </xf>
    <xf numFmtId="165" fontId="27" fillId="11" borderId="13" xfId="0" applyNumberFormat="1" applyFont="1" applyFill="1" applyBorder="1" applyAlignment="1">
      <alignment horizontal="center" vertical="center"/>
    </xf>
    <xf numFmtId="165" fontId="27" fillId="11" borderId="10" xfId="0" applyNumberFormat="1" applyFont="1" applyFill="1" applyBorder="1" applyAlignment="1">
      <alignment horizontal="center" vertical="center"/>
    </xf>
    <xf numFmtId="165" fontId="27" fillId="11" borderId="2" xfId="0" applyNumberFormat="1" applyFont="1" applyFill="1" applyBorder="1" applyAlignment="1">
      <alignment horizontal="center" vertical="center"/>
    </xf>
    <xf numFmtId="165" fontId="27" fillId="11" borderId="6" xfId="0" applyNumberFormat="1" applyFont="1" applyFill="1" applyBorder="1" applyAlignment="1">
      <alignment horizontal="center" vertical="center"/>
    </xf>
    <xf numFmtId="165" fontId="28" fillId="11" borderId="11" xfId="0" applyNumberFormat="1" applyFont="1" applyFill="1" applyBorder="1" applyAlignment="1">
      <alignment horizontal="center" vertical="center" wrapText="1"/>
    </xf>
    <xf numFmtId="165" fontId="28" fillId="11" borderId="12" xfId="0" applyNumberFormat="1" applyFont="1" applyFill="1" applyBorder="1" applyAlignment="1">
      <alignment horizontal="center" vertical="center" wrapText="1"/>
    </xf>
    <xf numFmtId="165" fontId="28" fillId="11" borderId="13" xfId="0" applyNumberFormat="1" applyFont="1" applyFill="1" applyBorder="1" applyAlignment="1">
      <alignment horizontal="center" vertical="center" wrapText="1"/>
    </xf>
    <xf numFmtId="165" fontId="28" fillId="11" borderId="10" xfId="0" applyNumberFormat="1" applyFont="1" applyFill="1" applyBorder="1" applyAlignment="1">
      <alignment horizontal="center" vertical="center" wrapText="1"/>
    </xf>
    <xf numFmtId="165" fontId="28" fillId="11" borderId="2" xfId="0" applyNumberFormat="1" applyFont="1" applyFill="1" applyBorder="1" applyAlignment="1">
      <alignment horizontal="center" vertical="center" wrapText="1"/>
    </xf>
    <xf numFmtId="165" fontId="28" fillId="11" borderId="6" xfId="0" applyNumberFormat="1" applyFont="1" applyFill="1" applyBorder="1" applyAlignment="1">
      <alignment horizontal="center" vertical="center" wrapText="1"/>
    </xf>
    <xf numFmtId="165" fontId="28" fillId="14" borderId="11" xfId="0" applyNumberFormat="1" applyFont="1" applyFill="1" applyBorder="1" applyAlignment="1">
      <alignment horizontal="center" vertical="center" wrapText="1"/>
    </xf>
    <xf numFmtId="165" fontId="28" fillId="14" borderId="12" xfId="0" applyNumberFormat="1" applyFont="1" applyFill="1" applyBorder="1" applyAlignment="1">
      <alignment horizontal="center" vertical="center" wrapText="1"/>
    </xf>
    <xf numFmtId="165" fontId="28" fillId="14" borderId="13" xfId="0" applyNumberFormat="1" applyFont="1" applyFill="1" applyBorder="1" applyAlignment="1">
      <alignment horizontal="center" vertical="center" wrapText="1"/>
    </xf>
    <xf numFmtId="165" fontId="28" fillId="14" borderId="10" xfId="0" applyNumberFormat="1" applyFont="1" applyFill="1" applyBorder="1" applyAlignment="1">
      <alignment horizontal="center" vertical="center" wrapText="1"/>
    </xf>
    <xf numFmtId="165" fontId="28" fillId="14" borderId="2" xfId="0" applyNumberFormat="1" applyFont="1" applyFill="1" applyBorder="1" applyAlignment="1">
      <alignment horizontal="center" vertical="center" wrapText="1"/>
    </xf>
    <xf numFmtId="165" fontId="28" fillId="14" borderId="6" xfId="0" applyNumberFormat="1" applyFont="1" applyFill="1" applyBorder="1" applyAlignment="1">
      <alignment horizontal="center" vertical="center" wrapText="1"/>
    </xf>
    <xf numFmtId="165" fontId="19" fillId="4" borderId="0" xfId="0" applyNumberFormat="1" applyFont="1" applyFill="1" applyAlignment="1">
      <alignment horizontal="center" vertical="center" textRotation="90"/>
    </xf>
    <xf numFmtId="165" fontId="9" fillId="4" borderId="0" xfId="0" applyNumberFormat="1" applyFont="1" applyFill="1" applyAlignment="1">
      <alignment horizontal="center" vertical="center" wrapText="1"/>
    </xf>
    <xf numFmtId="165" fontId="9" fillId="4" borderId="0" xfId="0" applyNumberFormat="1" applyFont="1" applyFill="1" applyAlignment="1">
      <alignment horizontal="center" vertical="center"/>
    </xf>
    <xf numFmtId="165" fontId="18" fillId="9" borderId="0" xfId="0" applyNumberFormat="1" applyFont="1" applyFill="1" applyAlignment="1">
      <alignment horizontal="center" vertical="center"/>
    </xf>
    <xf numFmtId="165" fontId="29" fillId="4" borderId="0" xfId="0" applyNumberFormat="1" applyFont="1" applyFill="1" applyAlignment="1">
      <alignment horizontal="center" vertical="center" textRotation="90" wrapText="1"/>
    </xf>
    <xf numFmtId="0" fontId="27" fillId="13" borderId="11" xfId="0" applyFont="1" applyFill="1" applyBorder="1" applyAlignment="1">
      <alignment horizontal="center" vertical="center" wrapText="1"/>
    </xf>
    <xf numFmtId="0" fontId="27" fillId="13" borderId="13" xfId="0" applyFont="1" applyFill="1" applyBorder="1" applyAlignment="1">
      <alignment horizontal="center" vertical="center"/>
    </xf>
    <xf numFmtId="0" fontId="27" fillId="13" borderId="10" xfId="0" applyFont="1" applyFill="1" applyBorder="1" applyAlignment="1">
      <alignment horizontal="center" vertical="center"/>
    </xf>
    <xf numFmtId="0" fontId="27" fillId="13" borderId="6" xfId="0" applyFont="1" applyFill="1" applyBorder="1" applyAlignment="1">
      <alignment horizontal="center" vertical="center"/>
    </xf>
    <xf numFmtId="0" fontId="27" fillId="13" borderId="13" xfId="0" applyFont="1" applyFill="1" applyBorder="1" applyAlignment="1">
      <alignment horizontal="center" vertical="center" wrapText="1"/>
    </xf>
    <xf numFmtId="0" fontId="27" fillId="13" borderId="10" xfId="0" applyFont="1" applyFill="1" applyBorder="1" applyAlignment="1">
      <alignment horizontal="center" vertical="center" wrapText="1"/>
    </xf>
    <xf numFmtId="0" fontId="27" fillId="13" borderId="6" xfId="0" applyFont="1" applyFill="1" applyBorder="1" applyAlignment="1">
      <alignment horizontal="center" vertical="center" wrapText="1"/>
    </xf>
    <xf numFmtId="0" fontId="27" fillId="13" borderId="12" xfId="0" applyFont="1" applyFill="1" applyBorder="1" applyAlignment="1">
      <alignment horizontal="center" vertical="center" wrapText="1"/>
    </xf>
    <xf numFmtId="0" fontId="27" fillId="13" borderId="9" xfId="0" applyFont="1" applyFill="1" applyBorder="1" applyAlignment="1">
      <alignment horizontal="center" vertical="center" wrapText="1"/>
    </xf>
    <xf numFmtId="0" fontId="27" fillId="13" borderId="0" xfId="0" applyFont="1" applyFill="1" applyAlignment="1">
      <alignment horizontal="center" vertical="center" wrapText="1"/>
    </xf>
    <xf numFmtId="0" fontId="27" fillId="13" borderId="14" xfId="0" applyFont="1" applyFill="1" applyBorder="1" applyAlignment="1">
      <alignment horizontal="center" vertical="center" wrapText="1"/>
    </xf>
    <xf numFmtId="0" fontId="27" fillId="13" borderId="2" xfId="0" applyFont="1" applyFill="1" applyBorder="1" applyAlignment="1">
      <alignment horizontal="center" vertical="center" wrapText="1"/>
    </xf>
    <xf numFmtId="0" fontId="28" fillId="2" borderId="0" xfId="0" applyFont="1" applyFill="1" applyAlignment="1">
      <alignment horizontal="center" vertical="center"/>
    </xf>
    <xf numFmtId="0" fontId="27" fillId="13" borderId="2" xfId="0" applyFont="1" applyFill="1" applyBorder="1" applyAlignment="1">
      <alignment horizontal="center" vertical="center"/>
    </xf>
    <xf numFmtId="0" fontId="26" fillId="13" borderId="11" xfId="0" applyFont="1" applyFill="1" applyBorder="1" applyAlignment="1">
      <alignment horizontal="center" vertical="center" wrapText="1"/>
    </xf>
    <xf numFmtId="0" fontId="26" fillId="13" borderId="13" xfId="0" applyFont="1" applyFill="1" applyBorder="1" applyAlignment="1">
      <alignment horizontal="center" vertical="center"/>
    </xf>
    <xf numFmtId="0" fontId="26" fillId="13" borderId="10" xfId="0" applyFont="1" applyFill="1" applyBorder="1" applyAlignment="1">
      <alignment horizontal="center" vertical="center"/>
    </xf>
    <xf numFmtId="0" fontId="26" fillId="13" borderId="6" xfId="0" applyFont="1" applyFill="1" applyBorder="1" applyAlignment="1">
      <alignment horizontal="center" vertical="center"/>
    </xf>
    <xf numFmtId="0" fontId="27" fillId="11" borderId="11" xfId="0" applyFont="1" applyFill="1" applyBorder="1" applyAlignment="1">
      <alignment horizontal="center" vertical="center" wrapText="1"/>
    </xf>
    <xf numFmtId="0" fontId="27" fillId="11" borderId="13" xfId="0" applyFont="1" applyFill="1" applyBorder="1" applyAlignment="1">
      <alignment horizontal="center" vertical="center"/>
    </xf>
    <xf numFmtId="0" fontId="27" fillId="11" borderId="10" xfId="0" applyFont="1" applyFill="1" applyBorder="1" applyAlignment="1">
      <alignment horizontal="center" vertical="center"/>
    </xf>
    <xf numFmtId="0" fontId="27" fillId="11" borderId="6" xfId="0" applyFont="1" applyFill="1" applyBorder="1" applyAlignment="1">
      <alignment horizontal="center" vertical="center"/>
    </xf>
    <xf numFmtId="0" fontId="13" fillId="12" borderId="11" xfId="0" applyFont="1" applyFill="1" applyBorder="1" applyAlignment="1">
      <alignment horizontal="center" vertical="center"/>
    </xf>
    <xf numFmtId="0" fontId="13" fillId="12" borderId="13" xfId="0" applyFont="1" applyFill="1" applyBorder="1" applyAlignment="1">
      <alignment horizontal="center" vertical="center"/>
    </xf>
    <xf numFmtId="0" fontId="13" fillId="12" borderId="9" xfId="0" applyFont="1" applyFill="1" applyBorder="1" applyAlignment="1">
      <alignment horizontal="center" vertical="center"/>
    </xf>
    <xf numFmtId="0" fontId="13" fillId="12" borderId="14" xfId="0" applyFont="1" applyFill="1" applyBorder="1" applyAlignment="1">
      <alignment horizontal="center" vertical="center"/>
    </xf>
    <xf numFmtId="0" fontId="13" fillId="12" borderId="10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3" fillId="11" borderId="11" xfId="0" applyFont="1" applyFill="1" applyBorder="1" applyAlignment="1">
      <alignment horizontal="center" vertical="center"/>
    </xf>
    <xf numFmtId="0" fontId="13" fillId="11" borderId="12" xfId="0" applyFont="1" applyFill="1" applyBorder="1" applyAlignment="1">
      <alignment horizontal="center" vertical="center"/>
    </xf>
    <xf numFmtId="0" fontId="13" fillId="11" borderId="13" xfId="0" applyFont="1" applyFill="1" applyBorder="1" applyAlignment="1">
      <alignment horizontal="center" vertical="center"/>
    </xf>
    <xf numFmtId="0" fontId="13" fillId="11" borderId="10" xfId="0" applyFont="1" applyFill="1" applyBorder="1" applyAlignment="1">
      <alignment horizontal="center" vertical="center"/>
    </xf>
    <xf numFmtId="0" fontId="13" fillId="11" borderId="2" xfId="0" applyFont="1" applyFill="1" applyBorder="1" applyAlignment="1">
      <alignment horizontal="center" vertical="center"/>
    </xf>
    <xf numFmtId="0" fontId="13" fillId="11" borderId="6" xfId="0" applyFont="1" applyFill="1" applyBorder="1" applyAlignment="1">
      <alignment horizontal="center" vertical="center"/>
    </xf>
    <xf numFmtId="166" fontId="32" fillId="2" borderId="1" xfId="0" applyNumberFormat="1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20" fontId="17" fillId="2" borderId="11" xfId="0" applyNumberFormat="1" applyFont="1" applyFill="1" applyBorder="1" applyAlignment="1">
      <alignment horizontal="center" vertical="center"/>
    </xf>
    <xf numFmtId="20" fontId="17" fillId="2" borderId="13" xfId="0" applyNumberFormat="1" applyFont="1" applyFill="1" applyBorder="1" applyAlignment="1">
      <alignment horizontal="center" vertical="center"/>
    </xf>
    <xf numFmtId="20" fontId="17" fillId="2" borderId="9" xfId="0" applyNumberFormat="1" applyFont="1" applyFill="1" applyBorder="1" applyAlignment="1">
      <alignment horizontal="center" vertical="center"/>
    </xf>
    <xf numFmtId="20" fontId="17" fillId="2" borderId="14" xfId="0" applyNumberFormat="1" applyFont="1" applyFill="1" applyBorder="1" applyAlignment="1">
      <alignment horizontal="center" vertical="center"/>
    </xf>
    <xf numFmtId="20" fontId="17" fillId="2" borderId="10" xfId="0" applyNumberFormat="1" applyFont="1" applyFill="1" applyBorder="1" applyAlignment="1">
      <alignment horizontal="center" vertical="center"/>
    </xf>
    <xf numFmtId="20" fontId="17" fillId="2" borderId="6" xfId="0" applyNumberFormat="1" applyFont="1" applyFill="1" applyBorder="1" applyAlignment="1">
      <alignment horizontal="center" vertical="center"/>
    </xf>
    <xf numFmtId="0" fontId="25" fillId="2" borderId="0" xfId="0" applyFont="1" applyFill="1" applyAlignment="1">
      <alignment horizontal="center" vertical="center"/>
    </xf>
    <xf numFmtId="0" fontId="21" fillId="2" borderId="0" xfId="0" applyFont="1" applyFill="1" applyAlignment="1">
      <alignment horizontal="left" vertical="center"/>
    </xf>
    <xf numFmtId="14" fontId="31" fillId="2" borderId="0" xfId="0" applyNumberFormat="1" applyFont="1" applyFill="1" applyAlignment="1">
      <alignment horizontal="left" vertical="center"/>
    </xf>
    <xf numFmtId="0" fontId="27" fillId="11" borderId="12" xfId="0" applyFont="1" applyFill="1" applyBorder="1" applyAlignment="1">
      <alignment horizontal="center" vertical="center"/>
    </xf>
    <xf numFmtId="0" fontId="27" fillId="11" borderId="2" xfId="0" applyFont="1" applyFill="1" applyBorder="1" applyAlignment="1">
      <alignment horizontal="center" vertical="center"/>
    </xf>
    <xf numFmtId="0" fontId="35" fillId="15" borderId="15" xfId="0" applyFont="1" applyFill="1" applyBorder="1" applyAlignment="1">
      <alignment horizontal="center" vertical="center"/>
    </xf>
    <xf numFmtId="0" fontId="35" fillId="15" borderId="16" xfId="0" applyFont="1" applyFill="1" applyBorder="1" applyAlignment="1">
      <alignment horizontal="center" vertical="center"/>
    </xf>
    <xf numFmtId="0" fontId="35" fillId="15" borderId="19" xfId="0" applyFont="1" applyFill="1" applyBorder="1" applyAlignment="1">
      <alignment horizontal="center" vertical="center"/>
    </xf>
    <xf numFmtId="0" fontId="35" fillId="15" borderId="2" xfId="0" applyFont="1" applyFill="1" applyBorder="1" applyAlignment="1">
      <alignment horizontal="center" vertical="center"/>
    </xf>
    <xf numFmtId="0" fontId="35" fillId="15" borderId="17" xfId="0" applyFont="1" applyFill="1" applyBorder="1" applyAlignment="1">
      <alignment horizontal="center" vertical="center"/>
    </xf>
    <xf numFmtId="0" fontId="35" fillId="15" borderId="18" xfId="0" applyFont="1" applyFill="1" applyBorder="1" applyAlignment="1">
      <alignment horizontal="center" vertical="center"/>
    </xf>
  </cellXfs>
  <cellStyles count="1">
    <cellStyle name="Обычный" xfId="0" builtinId="0"/>
  </cellStyles>
  <dxfs count="34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  <dxf>
      <fill>
        <patternFill>
          <bgColor rgb="FFFFF5EB"/>
        </patternFill>
      </fill>
    </dxf>
    <dxf>
      <fill>
        <patternFill>
          <bgColor rgb="FFFF7C80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7C80"/>
        </patternFill>
      </fill>
    </dxf>
    <dxf>
      <fill>
        <patternFill>
          <bgColor theme="7" tint="0.79998168889431442"/>
        </patternFill>
      </fill>
    </dxf>
    <dxf>
      <fill>
        <patternFill>
          <bgColor rgb="FFFF7C80"/>
        </patternFill>
      </fill>
    </dxf>
    <dxf>
      <fill>
        <patternFill>
          <bgColor theme="5" tint="0.79998168889431442"/>
        </patternFill>
      </fill>
    </dxf>
    <dxf>
      <fill>
        <patternFill>
          <bgColor rgb="FFFF7C80"/>
        </patternFill>
      </fill>
    </dxf>
    <dxf>
      <fill>
        <patternFill>
          <bgColor theme="7" tint="0.79998168889431442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  <dxf>
      <fill>
        <patternFill>
          <bgColor theme="7" tint="0.79998168889431442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7C80"/>
      <color rgb="FFECF0F8"/>
      <color rgb="FFFFF5EB"/>
      <color rgb="FFFDEFE7"/>
      <color rgb="FFFFF0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76205</xdr:colOff>
      <xdr:row>6</xdr:row>
      <xdr:rowOff>104776</xdr:rowOff>
    </xdr:from>
    <xdr:to>
      <xdr:col>29</xdr:col>
      <xdr:colOff>342901</xdr:colOff>
      <xdr:row>9</xdr:row>
      <xdr:rowOff>209549</xdr:rowOff>
    </xdr:to>
    <xdr:cxnSp macro="">
      <xdr:nvCxnSpPr>
        <xdr:cNvPr id="3" name="Соединитель: уступ 2">
          <a:extLst>
            <a:ext uri="{FF2B5EF4-FFF2-40B4-BE49-F238E27FC236}">
              <a16:creationId xmlns:a16="http://schemas.microsoft.com/office/drawing/2014/main" id="{29F27B3B-6E4E-46EF-8E8C-DD1EA5B71BF4}"/>
            </a:ext>
          </a:extLst>
        </xdr:cNvPr>
        <xdr:cNvCxnSpPr/>
      </xdr:nvCxnSpPr>
      <xdr:spPr>
        <a:xfrm rot="16200000" flipH="1">
          <a:off x="18616616" y="2166940"/>
          <a:ext cx="962023" cy="266696"/>
        </a:xfrm>
        <a:prstGeom prst="bentConnector3">
          <a:avLst>
            <a:gd name="adj1" fmla="val 495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57150</xdr:colOff>
      <xdr:row>11</xdr:row>
      <xdr:rowOff>104775</xdr:rowOff>
    </xdr:from>
    <xdr:to>
      <xdr:col>22</xdr:col>
      <xdr:colOff>597150</xdr:colOff>
      <xdr:row>11</xdr:row>
      <xdr:rowOff>104775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24EFF57F-8482-420E-B49B-BEF6CCDC368F}"/>
            </a:ext>
          </a:extLst>
        </xdr:cNvPr>
        <xdr:cNvCxnSpPr/>
      </xdr:nvCxnSpPr>
      <xdr:spPr>
        <a:xfrm flipH="1">
          <a:off x="14201775" y="3562350"/>
          <a:ext cx="540000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361950</xdr:colOff>
      <xdr:row>12</xdr:row>
      <xdr:rowOff>57150</xdr:rowOff>
    </xdr:from>
    <xdr:to>
      <xdr:col>29</xdr:col>
      <xdr:colOff>342900</xdr:colOff>
      <xdr:row>13</xdr:row>
      <xdr:rowOff>76200</xdr:rowOff>
    </xdr:to>
    <xdr:cxnSp macro="">
      <xdr:nvCxnSpPr>
        <xdr:cNvPr id="16" name="Соединитель: уступ 15">
          <a:extLst>
            <a:ext uri="{FF2B5EF4-FFF2-40B4-BE49-F238E27FC236}">
              <a16:creationId xmlns:a16="http://schemas.microsoft.com/office/drawing/2014/main" id="{5187A401-0F80-4F45-A3AB-9A5D468F6CF7}"/>
            </a:ext>
          </a:extLst>
        </xdr:cNvPr>
        <xdr:cNvCxnSpPr/>
      </xdr:nvCxnSpPr>
      <xdr:spPr>
        <a:xfrm>
          <a:off x="8277225" y="2571750"/>
          <a:ext cx="10953750" cy="228600"/>
        </a:xfrm>
        <a:prstGeom prst="bentConnector3">
          <a:avLst>
            <a:gd name="adj1" fmla="val 0"/>
          </a:avLst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341219</xdr:colOff>
      <xdr:row>13</xdr:row>
      <xdr:rowOff>76199</xdr:rowOff>
    </xdr:from>
    <xdr:to>
      <xdr:col>29</xdr:col>
      <xdr:colOff>341219</xdr:colOff>
      <xdr:row>14</xdr:row>
      <xdr:rowOff>121874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EBEEFF19-E7EB-445B-84F2-C565786C7A34}"/>
            </a:ext>
          </a:extLst>
        </xdr:cNvPr>
        <xdr:cNvCxnSpPr/>
      </xdr:nvCxnSpPr>
      <xdr:spPr>
        <a:xfrm>
          <a:off x="19019744" y="4162424"/>
          <a:ext cx="0" cy="3600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57150</xdr:colOff>
      <xdr:row>17</xdr:row>
      <xdr:rowOff>142875</xdr:rowOff>
    </xdr:from>
    <xdr:to>
      <xdr:col>20</xdr:col>
      <xdr:colOff>571500</xdr:colOff>
      <xdr:row>17</xdr:row>
      <xdr:rowOff>142875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A71E3D74-C743-44FB-8A11-2F704987A7BC}"/>
            </a:ext>
          </a:extLst>
        </xdr:cNvPr>
        <xdr:cNvCxnSpPr/>
      </xdr:nvCxnSpPr>
      <xdr:spPr>
        <a:xfrm flipH="1">
          <a:off x="12906375" y="5486400"/>
          <a:ext cx="514350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352425</xdr:colOff>
      <xdr:row>16</xdr:row>
      <xdr:rowOff>28575</xdr:rowOff>
    </xdr:from>
    <xdr:to>
      <xdr:col>29</xdr:col>
      <xdr:colOff>352425</xdr:colOff>
      <xdr:row>16</xdr:row>
      <xdr:rowOff>280575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E2D61A6C-5B58-47D9-AE2C-00C74E9AD422}"/>
            </a:ext>
          </a:extLst>
        </xdr:cNvPr>
        <xdr:cNvCxnSpPr/>
      </xdr:nvCxnSpPr>
      <xdr:spPr>
        <a:xfrm>
          <a:off x="19030950" y="5057775"/>
          <a:ext cx="0" cy="2520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352425</xdr:colOff>
      <xdr:row>16</xdr:row>
      <xdr:rowOff>28575</xdr:rowOff>
    </xdr:from>
    <xdr:to>
      <xdr:col>6</xdr:col>
      <xdr:colOff>352425</xdr:colOff>
      <xdr:row>16</xdr:row>
      <xdr:rowOff>280575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E63AE1E0-F0BC-40B7-BA22-18E6A9C5C367}"/>
            </a:ext>
          </a:extLst>
        </xdr:cNvPr>
        <xdr:cNvCxnSpPr/>
      </xdr:nvCxnSpPr>
      <xdr:spPr>
        <a:xfrm flipV="1">
          <a:off x="4133850" y="5057775"/>
          <a:ext cx="0" cy="2520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342900</xdr:colOff>
      <xdr:row>17</xdr:row>
      <xdr:rowOff>142875</xdr:rowOff>
    </xdr:from>
    <xdr:to>
      <xdr:col>20</xdr:col>
      <xdr:colOff>342900</xdr:colOff>
      <xdr:row>18</xdr:row>
      <xdr:rowOff>221325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114AA3F6-9AEB-4E5B-A91D-7EC31AE29984}"/>
            </a:ext>
          </a:extLst>
        </xdr:cNvPr>
        <xdr:cNvCxnSpPr/>
      </xdr:nvCxnSpPr>
      <xdr:spPr>
        <a:xfrm>
          <a:off x="13192125" y="5486400"/>
          <a:ext cx="0" cy="392775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565338</xdr:colOff>
      <xdr:row>10</xdr:row>
      <xdr:rowOff>175025</xdr:rowOff>
    </xdr:from>
    <xdr:to>
      <xdr:col>22</xdr:col>
      <xdr:colOff>86838</xdr:colOff>
      <xdr:row>11</xdr:row>
      <xdr:rowOff>4700</xdr:rowOff>
    </xdr:to>
    <xdr:sp macro="" textlink="">
      <xdr:nvSpPr>
        <xdr:cNvPr id="26" name="Равнобедренный треугольник 25">
          <a:extLst>
            <a:ext uri="{FF2B5EF4-FFF2-40B4-BE49-F238E27FC236}">
              <a16:creationId xmlns:a16="http://schemas.microsoft.com/office/drawing/2014/main" id="{064ECEEF-9E39-46F1-89C9-4FE56E2E578C}"/>
            </a:ext>
          </a:extLst>
        </xdr:cNvPr>
        <xdr:cNvSpPr/>
      </xdr:nvSpPr>
      <xdr:spPr>
        <a:xfrm flipV="1">
          <a:off x="14062263" y="3318275"/>
          <a:ext cx="169200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572060</xdr:colOff>
      <xdr:row>10</xdr:row>
      <xdr:rowOff>170543</xdr:rowOff>
    </xdr:from>
    <xdr:to>
      <xdr:col>13</xdr:col>
      <xdr:colOff>93560</xdr:colOff>
      <xdr:row>11</xdr:row>
      <xdr:rowOff>218</xdr:rowOff>
    </xdr:to>
    <xdr:sp macro="" textlink="">
      <xdr:nvSpPr>
        <xdr:cNvPr id="27" name="Равнобедренный треугольник 26">
          <a:extLst>
            <a:ext uri="{FF2B5EF4-FFF2-40B4-BE49-F238E27FC236}">
              <a16:creationId xmlns:a16="http://schemas.microsoft.com/office/drawing/2014/main" id="{3244D4DA-02BC-4EDA-AD78-04C74193274D}"/>
            </a:ext>
          </a:extLst>
        </xdr:cNvPr>
        <xdr:cNvSpPr/>
      </xdr:nvSpPr>
      <xdr:spPr>
        <a:xfrm flipV="1">
          <a:off x="8239685" y="3313793"/>
          <a:ext cx="169200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29</xdr:col>
      <xdr:colOff>567578</xdr:colOff>
      <xdr:row>16</xdr:row>
      <xdr:rowOff>158216</xdr:rowOff>
    </xdr:from>
    <xdr:to>
      <xdr:col>30</xdr:col>
      <xdr:colOff>89078</xdr:colOff>
      <xdr:row>16</xdr:row>
      <xdr:rowOff>302216</xdr:rowOff>
    </xdr:to>
    <xdr:sp macro="" textlink="">
      <xdr:nvSpPr>
        <xdr:cNvPr id="28" name="Равнобедренный треугольник 27">
          <a:extLst>
            <a:ext uri="{FF2B5EF4-FFF2-40B4-BE49-F238E27FC236}">
              <a16:creationId xmlns:a16="http://schemas.microsoft.com/office/drawing/2014/main" id="{1E6AF75F-6AEF-46F7-86AD-6D0B4E2A6198}"/>
            </a:ext>
          </a:extLst>
        </xdr:cNvPr>
        <xdr:cNvSpPr/>
      </xdr:nvSpPr>
      <xdr:spPr>
        <a:xfrm flipV="1">
          <a:off x="19246103" y="5187416"/>
          <a:ext cx="169200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261097</xdr:colOff>
      <xdr:row>16</xdr:row>
      <xdr:rowOff>301999</xdr:rowOff>
    </xdr:from>
    <xdr:to>
      <xdr:col>20</xdr:col>
      <xdr:colOff>429184</xdr:colOff>
      <xdr:row>17</xdr:row>
      <xdr:rowOff>131674</xdr:rowOff>
    </xdr:to>
    <xdr:sp macro="" textlink="">
      <xdr:nvSpPr>
        <xdr:cNvPr id="29" name="Равнобедренный треугольник 28">
          <a:extLst>
            <a:ext uri="{FF2B5EF4-FFF2-40B4-BE49-F238E27FC236}">
              <a16:creationId xmlns:a16="http://schemas.microsoft.com/office/drawing/2014/main" id="{14558D69-7D52-496F-9532-49C35AB5833C}"/>
            </a:ext>
          </a:extLst>
        </xdr:cNvPr>
        <xdr:cNvSpPr/>
      </xdr:nvSpPr>
      <xdr:spPr>
        <a:xfrm flipV="1">
          <a:off x="13110322" y="5331199"/>
          <a:ext cx="168087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</xdr:col>
      <xdr:colOff>203947</xdr:colOff>
      <xdr:row>20</xdr:row>
      <xdr:rowOff>155201</xdr:rowOff>
    </xdr:from>
    <xdr:to>
      <xdr:col>5</xdr:col>
      <xdr:colOff>372034</xdr:colOff>
      <xdr:row>20</xdr:row>
      <xdr:rowOff>299201</xdr:rowOff>
    </xdr:to>
    <xdr:sp macro="" textlink="">
      <xdr:nvSpPr>
        <xdr:cNvPr id="30" name="Равнобедренный треугольник 29">
          <a:extLst>
            <a:ext uri="{FF2B5EF4-FFF2-40B4-BE49-F238E27FC236}">
              <a16:creationId xmlns:a16="http://schemas.microsoft.com/office/drawing/2014/main" id="{86D72281-D940-4197-898A-FC17AF6A56A4}"/>
            </a:ext>
          </a:extLst>
        </xdr:cNvPr>
        <xdr:cNvSpPr/>
      </xdr:nvSpPr>
      <xdr:spPr>
        <a:xfrm flipV="1">
          <a:off x="3604372" y="6756026"/>
          <a:ext cx="168087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472329</xdr:colOff>
      <xdr:row>20</xdr:row>
      <xdr:rowOff>155201</xdr:rowOff>
    </xdr:from>
    <xdr:to>
      <xdr:col>8</xdr:col>
      <xdr:colOff>640416</xdr:colOff>
      <xdr:row>20</xdr:row>
      <xdr:rowOff>299201</xdr:rowOff>
    </xdr:to>
    <xdr:sp macro="" textlink="">
      <xdr:nvSpPr>
        <xdr:cNvPr id="31" name="Равнобедренный треугольник 30">
          <a:extLst>
            <a:ext uri="{FF2B5EF4-FFF2-40B4-BE49-F238E27FC236}">
              <a16:creationId xmlns:a16="http://schemas.microsoft.com/office/drawing/2014/main" id="{6BE7DABA-CC1C-430F-8AD9-F448BFB93870}"/>
            </a:ext>
          </a:extLst>
        </xdr:cNvPr>
        <xdr:cNvSpPr/>
      </xdr:nvSpPr>
      <xdr:spPr>
        <a:xfrm flipV="1">
          <a:off x="5549154" y="6756026"/>
          <a:ext cx="168087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470648</xdr:colOff>
      <xdr:row>20</xdr:row>
      <xdr:rowOff>174251</xdr:rowOff>
    </xdr:from>
    <xdr:to>
      <xdr:col>12</xdr:col>
      <xdr:colOff>638735</xdr:colOff>
      <xdr:row>20</xdr:row>
      <xdr:rowOff>309629</xdr:rowOff>
    </xdr:to>
    <xdr:sp macro="" textlink="">
      <xdr:nvSpPr>
        <xdr:cNvPr id="32" name="Равнобедренный треугольник 31">
          <a:extLst>
            <a:ext uri="{FF2B5EF4-FFF2-40B4-BE49-F238E27FC236}">
              <a16:creationId xmlns:a16="http://schemas.microsoft.com/office/drawing/2014/main" id="{4A009380-89FA-4242-B645-A297E41E3524}"/>
            </a:ext>
          </a:extLst>
        </xdr:cNvPr>
        <xdr:cNvSpPr/>
      </xdr:nvSpPr>
      <xdr:spPr>
        <a:xfrm flipV="1">
          <a:off x="8138273" y="6460751"/>
          <a:ext cx="168087" cy="135378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22</xdr:col>
      <xdr:colOff>470647</xdr:colOff>
      <xdr:row>20</xdr:row>
      <xdr:rowOff>155201</xdr:rowOff>
    </xdr:from>
    <xdr:to>
      <xdr:col>22</xdr:col>
      <xdr:colOff>638734</xdr:colOff>
      <xdr:row>20</xdr:row>
      <xdr:rowOff>299201</xdr:rowOff>
    </xdr:to>
    <xdr:sp macro="" textlink="">
      <xdr:nvSpPr>
        <xdr:cNvPr id="33" name="Равнобедренный треугольник 32">
          <a:extLst>
            <a:ext uri="{FF2B5EF4-FFF2-40B4-BE49-F238E27FC236}">
              <a16:creationId xmlns:a16="http://schemas.microsoft.com/office/drawing/2014/main" id="{0D8AA3C0-C5CC-4C3E-BD5A-33F831D4C4F0}"/>
            </a:ext>
          </a:extLst>
        </xdr:cNvPr>
        <xdr:cNvSpPr/>
      </xdr:nvSpPr>
      <xdr:spPr>
        <a:xfrm flipV="1">
          <a:off x="14615272" y="6441701"/>
          <a:ext cx="168087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22412</xdr:colOff>
      <xdr:row>15</xdr:row>
      <xdr:rowOff>112060</xdr:rowOff>
    </xdr:from>
    <xdr:to>
      <xdr:col>7</xdr:col>
      <xdr:colOff>190499</xdr:colOff>
      <xdr:row>15</xdr:row>
      <xdr:rowOff>256963</xdr:rowOff>
    </xdr:to>
    <xdr:sp macro="" textlink="">
      <xdr:nvSpPr>
        <xdr:cNvPr id="34" name="Равнобедренный треугольник 33">
          <a:extLst>
            <a:ext uri="{FF2B5EF4-FFF2-40B4-BE49-F238E27FC236}">
              <a16:creationId xmlns:a16="http://schemas.microsoft.com/office/drawing/2014/main" id="{EB6182E9-7D59-4414-91BB-7E2F3C05F42B}"/>
            </a:ext>
          </a:extLst>
        </xdr:cNvPr>
        <xdr:cNvSpPr/>
      </xdr:nvSpPr>
      <xdr:spPr>
        <a:xfrm flipV="1">
          <a:off x="4078941" y="4482354"/>
          <a:ext cx="168087" cy="144903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474009</xdr:colOff>
      <xdr:row>2</xdr:row>
      <xdr:rowOff>129990</xdr:rowOff>
    </xdr:from>
    <xdr:to>
      <xdr:col>25</xdr:col>
      <xdr:colOff>642096</xdr:colOff>
      <xdr:row>2</xdr:row>
      <xdr:rowOff>274893</xdr:rowOff>
    </xdr:to>
    <xdr:sp macro="" textlink="">
      <xdr:nvSpPr>
        <xdr:cNvPr id="35" name="Равнобедренный треугольник 34">
          <a:extLst>
            <a:ext uri="{FF2B5EF4-FFF2-40B4-BE49-F238E27FC236}">
              <a16:creationId xmlns:a16="http://schemas.microsoft.com/office/drawing/2014/main" id="{565545CF-E623-433E-A2F6-B2D50A022D1A}"/>
            </a:ext>
          </a:extLst>
        </xdr:cNvPr>
        <xdr:cNvSpPr/>
      </xdr:nvSpPr>
      <xdr:spPr>
        <a:xfrm flipV="1">
          <a:off x="16561734" y="701490"/>
          <a:ext cx="168087" cy="144903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567578</xdr:colOff>
      <xdr:row>3</xdr:row>
      <xdr:rowOff>155763</xdr:rowOff>
    </xdr:from>
    <xdr:to>
      <xdr:col>27</xdr:col>
      <xdr:colOff>89078</xdr:colOff>
      <xdr:row>3</xdr:row>
      <xdr:rowOff>300666</xdr:rowOff>
    </xdr:to>
    <xdr:sp macro="" textlink="">
      <xdr:nvSpPr>
        <xdr:cNvPr id="36" name="Равнобедренный треугольник 35">
          <a:extLst>
            <a:ext uri="{FF2B5EF4-FFF2-40B4-BE49-F238E27FC236}">
              <a16:creationId xmlns:a16="http://schemas.microsoft.com/office/drawing/2014/main" id="{1E02FF58-1A7A-4962-A055-B8D9EB144139}"/>
            </a:ext>
          </a:extLst>
        </xdr:cNvPr>
        <xdr:cNvSpPr/>
      </xdr:nvSpPr>
      <xdr:spPr>
        <a:xfrm flipV="1">
          <a:off x="17303003" y="1098738"/>
          <a:ext cx="169200" cy="144903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29</xdr:col>
      <xdr:colOff>565335</xdr:colOff>
      <xdr:row>9</xdr:row>
      <xdr:rowOff>174253</xdr:rowOff>
    </xdr:from>
    <xdr:to>
      <xdr:col>30</xdr:col>
      <xdr:colOff>86835</xdr:colOff>
      <xdr:row>10</xdr:row>
      <xdr:rowOff>3928</xdr:rowOff>
    </xdr:to>
    <xdr:sp macro="" textlink="">
      <xdr:nvSpPr>
        <xdr:cNvPr id="37" name="Равнобедренный треугольник 36">
          <a:extLst>
            <a:ext uri="{FF2B5EF4-FFF2-40B4-BE49-F238E27FC236}">
              <a16:creationId xmlns:a16="http://schemas.microsoft.com/office/drawing/2014/main" id="{9565AEE0-7271-4542-B491-DBAE993B3DD3}"/>
            </a:ext>
          </a:extLst>
        </xdr:cNvPr>
        <xdr:cNvSpPr/>
      </xdr:nvSpPr>
      <xdr:spPr>
        <a:xfrm flipV="1">
          <a:off x="19243860" y="3003178"/>
          <a:ext cx="169200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466725</xdr:colOff>
      <xdr:row>23</xdr:row>
      <xdr:rowOff>161925</xdr:rowOff>
    </xdr:from>
    <xdr:to>
      <xdr:col>8</xdr:col>
      <xdr:colOff>634812</xdr:colOff>
      <xdr:row>23</xdr:row>
      <xdr:rowOff>305925</xdr:rowOff>
    </xdr:to>
    <xdr:sp macro="" textlink="">
      <xdr:nvSpPr>
        <xdr:cNvPr id="47" name="Равнобедренный треугольник 46">
          <a:extLst>
            <a:ext uri="{FF2B5EF4-FFF2-40B4-BE49-F238E27FC236}">
              <a16:creationId xmlns:a16="http://schemas.microsoft.com/office/drawing/2014/main" id="{0427FD29-F8E7-4768-B624-B8D7D4AE4F46}"/>
            </a:ext>
          </a:extLst>
        </xdr:cNvPr>
        <xdr:cNvSpPr/>
      </xdr:nvSpPr>
      <xdr:spPr>
        <a:xfrm flipV="1">
          <a:off x="5543550" y="7391400"/>
          <a:ext cx="168087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466725</xdr:colOff>
      <xdr:row>26</xdr:row>
      <xdr:rowOff>161925</xdr:rowOff>
    </xdr:from>
    <xdr:to>
      <xdr:col>8</xdr:col>
      <xdr:colOff>634812</xdr:colOff>
      <xdr:row>26</xdr:row>
      <xdr:rowOff>305925</xdr:rowOff>
    </xdr:to>
    <xdr:sp macro="" textlink="">
      <xdr:nvSpPr>
        <xdr:cNvPr id="48" name="Равнобедренный треугольник 47">
          <a:extLst>
            <a:ext uri="{FF2B5EF4-FFF2-40B4-BE49-F238E27FC236}">
              <a16:creationId xmlns:a16="http://schemas.microsoft.com/office/drawing/2014/main" id="{B0DECD64-9047-4E42-9632-72079FBE8DC7}"/>
            </a:ext>
          </a:extLst>
        </xdr:cNvPr>
        <xdr:cNvSpPr/>
      </xdr:nvSpPr>
      <xdr:spPr>
        <a:xfrm flipV="1">
          <a:off x="5543550" y="8334375"/>
          <a:ext cx="168087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466725</xdr:colOff>
      <xdr:row>20</xdr:row>
      <xdr:rowOff>161925</xdr:rowOff>
    </xdr:from>
    <xdr:to>
      <xdr:col>18</xdr:col>
      <xdr:colOff>634812</xdr:colOff>
      <xdr:row>20</xdr:row>
      <xdr:rowOff>305925</xdr:rowOff>
    </xdr:to>
    <xdr:sp macro="" textlink="">
      <xdr:nvSpPr>
        <xdr:cNvPr id="49" name="Равнобедренный треугольник 48">
          <a:extLst>
            <a:ext uri="{FF2B5EF4-FFF2-40B4-BE49-F238E27FC236}">
              <a16:creationId xmlns:a16="http://schemas.microsoft.com/office/drawing/2014/main" id="{B474EC43-429B-4C57-B520-0D7AD246E3F4}"/>
            </a:ext>
          </a:extLst>
        </xdr:cNvPr>
        <xdr:cNvSpPr/>
      </xdr:nvSpPr>
      <xdr:spPr>
        <a:xfrm flipV="1">
          <a:off x="12020550" y="6448425"/>
          <a:ext cx="168087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15</xdr:col>
      <xdr:colOff>466725</xdr:colOff>
      <xdr:row>20</xdr:row>
      <xdr:rowOff>161925</xdr:rowOff>
    </xdr:from>
    <xdr:to>
      <xdr:col>15</xdr:col>
      <xdr:colOff>634812</xdr:colOff>
      <xdr:row>20</xdr:row>
      <xdr:rowOff>305925</xdr:rowOff>
    </xdr:to>
    <xdr:sp macro="" textlink="">
      <xdr:nvSpPr>
        <xdr:cNvPr id="50" name="Равнобедренный треугольник 49">
          <a:extLst>
            <a:ext uri="{FF2B5EF4-FFF2-40B4-BE49-F238E27FC236}">
              <a16:creationId xmlns:a16="http://schemas.microsoft.com/office/drawing/2014/main" id="{9634BB3A-3992-4062-9163-9CA1598C78F8}"/>
            </a:ext>
          </a:extLst>
        </xdr:cNvPr>
        <xdr:cNvSpPr/>
      </xdr:nvSpPr>
      <xdr:spPr>
        <a:xfrm flipV="1">
          <a:off x="10077450" y="6448425"/>
          <a:ext cx="168087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15</xdr:col>
      <xdr:colOff>466725</xdr:colOff>
      <xdr:row>23</xdr:row>
      <xdr:rowOff>161925</xdr:rowOff>
    </xdr:from>
    <xdr:to>
      <xdr:col>15</xdr:col>
      <xdr:colOff>634812</xdr:colOff>
      <xdr:row>23</xdr:row>
      <xdr:rowOff>305925</xdr:rowOff>
    </xdr:to>
    <xdr:sp macro="" textlink="">
      <xdr:nvSpPr>
        <xdr:cNvPr id="51" name="Равнобедренный треугольник 50">
          <a:extLst>
            <a:ext uri="{FF2B5EF4-FFF2-40B4-BE49-F238E27FC236}">
              <a16:creationId xmlns:a16="http://schemas.microsoft.com/office/drawing/2014/main" id="{EE49FA41-3DB8-48A6-8FF8-BAD4936E08B1}"/>
            </a:ext>
          </a:extLst>
        </xdr:cNvPr>
        <xdr:cNvSpPr/>
      </xdr:nvSpPr>
      <xdr:spPr>
        <a:xfrm flipV="1">
          <a:off x="10077450" y="7391400"/>
          <a:ext cx="168087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466725</xdr:colOff>
      <xdr:row>23</xdr:row>
      <xdr:rowOff>152400</xdr:rowOff>
    </xdr:from>
    <xdr:to>
      <xdr:col>12</xdr:col>
      <xdr:colOff>634812</xdr:colOff>
      <xdr:row>23</xdr:row>
      <xdr:rowOff>296400</xdr:rowOff>
    </xdr:to>
    <xdr:sp macro="" textlink="">
      <xdr:nvSpPr>
        <xdr:cNvPr id="52" name="Равнобедренный треугольник 51">
          <a:extLst>
            <a:ext uri="{FF2B5EF4-FFF2-40B4-BE49-F238E27FC236}">
              <a16:creationId xmlns:a16="http://schemas.microsoft.com/office/drawing/2014/main" id="{C29F5A56-E67D-4FF8-895E-2DA8D0F73DE0}"/>
            </a:ext>
          </a:extLst>
        </xdr:cNvPr>
        <xdr:cNvSpPr/>
      </xdr:nvSpPr>
      <xdr:spPr>
        <a:xfrm flipV="1">
          <a:off x="8134350" y="7381875"/>
          <a:ext cx="168087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466725</xdr:colOff>
      <xdr:row>25</xdr:row>
      <xdr:rowOff>161925</xdr:rowOff>
    </xdr:from>
    <xdr:to>
      <xdr:col>18</xdr:col>
      <xdr:colOff>634812</xdr:colOff>
      <xdr:row>25</xdr:row>
      <xdr:rowOff>305925</xdr:rowOff>
    </xdr:to>
    <xdr:sp macro="" textlink="">
      <xdr:nvSpPr>
        <xdr:cNvPr id="53" name="Равнобедренный треугольник 52">
          <a:extLst>
            <a:ext uri="{FF2B5EF4-FFF2-40B4-BE49-F238E27FC236}">
              <a16:creationId xmlns:a16="http://schemas.microsoft.com/office/drawing/2014/main" id="{9648D89F-4263-432B-93D4-A1FA326AC1DE}"/>
            </a:ext>
          </a:extLst>
        </xdr:cNvPr>
        <xdr:cNvSpPr/>
      </xdr:nvSpPr>
      <xdr:spPr>
        <a:xfrm flipV="1">
          <a:off x="12020550" y="8020050"/>
          <a:ext cx="168087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22</xdr:col>
      <xdr:colOff>466725</xdr:colOff>
      <xdr:row>25</xdr:row>
      <xdr:rowOff>152400</xdr:rowOff>
    </xdr:from>
    <xdr:to>
      <xdr:col>22</xdr:col>
      <xdr:colOff>634812</xdr:colOff>
      <xdr:row>25</xdr:row>
      <xdr:rowOff>296400</xdr:rowOff>
    </xdr:to>
    <xdr:sp macro="" textlink="">
      <xdr:nvSpPr>
        <xdr:cNvPr id="39" name="Равнобедренный треугольник 38">
          <a:extLst>
            <a:ext uri="{FF2B5EF4-FFF2-40B4-BE49-F238E27FC236}">
              <a16:creationId xmlns:a16="http://schemas.microsoft.com/office/drawing/2014/main" id="{9628BFA4-5E4B-461A-8D85-46AFB1B0261B}"/>
            </a:ext>
          </a:extLst>
        </xdr:cNvPr>
        <xdr:cNvSpPr/>
      </xdr:nvSpPr>
      <xdr:spPr>
        <a:xfrm flipV="1">
          <a:off x="14611350" y="8010525"/>
          <a:ext cx="168087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466725</xdr:colOff>
      <xdr:row>20</xdr:row>
      <xdr:rowOff>161925</xdr:rowOff>
    </xdr:from>
    <xdr:to>
      <xdr:col>26</xdr:col>
      <xdr:colOff>634812</xdr:colOff>
      <xdr:row>20</xdr:row>
      <xdr:rowOff>305925</xdr:rowOff>
    </xdr:to>
    <xdr:sp macro="" textlink="">
      <xdr:nvSpPr>
        <xdr:cNvPr id="40" name="Равнобедренный треугольник 39">
          <a:extLst>
            <a:ext uri="{FF2B5EF4-FFF2-40B4-BE49-F238E27FC236}">
              <a16:creationId xmlns:a16="http://schemas.microsoft.com/office/drawing/2014/main" id="{ACAE8A8E-6193-4A24-817D-9C421F1FAA59}"/>
            </a:ext>
          </a:extLst>
        </xdr:cNvPr>
        <xdr:cNvSpPr/>
      </xdr:nvSpPr>
      <xdr:spPr>
        <a:xfrm flipV="1">
          <a:off x="17202150" y="6448425"/>
          <a:ext cx="168087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466725</xdr:colOff>
      <xdr:row>23</xdr:row>
      <xdr:rowOff>171450</xdr:rowOff>
    </xdr:from>
    <xdr:to>
      <xdr:col>26</xdr:col>
      <xdr:colOff>634812</xdr:colOff>
      <xdr:row>24</xdr:row>
      <xdr:rowOff>1125</xdr:rowOff>
    </xdr:to>
    <xdr:sp macro="" textlink="">
      <xdr:nvSpPr>
        <xdr:cNvPr id="41" name="Равнобедренный треугольник 40">
          <a:extLst>
            <a:ext uri="{FF2B5EF4-FFF2-40B4-BE49-F238E27FC236}">
              <a16:creationId xmlns:a16="http://schemas.microsoft.com/office/drawing/2014/main" id="{8CA73D48-144B-4602-8BAF-7CB3AB39A42E}"/>
            </a:ext>
          </a:extLst>
        </xdr:cNvPr>
        <xdr:cNvSpPr/>
      </xdr:nvSpPr>
      <xdr:spPr>
        <a:xfrm flipV="1">
          <a:off x="17202150" y="7400925"/>
          <a:ext cx="168087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466725</xdr:colOff>
      <xdr:row>26</xdr:row>
      <xdr:rowOff>161925</xdr:rowOff>
    </xdr:from>
    <xdr:to>
      <xdr:col>26</xdr:col>
      <xdr:colOff>634812</xdr:colOff>
      <xdr:row>26</xdr:row>
      <xdr:rowOff>305925</xdr:rowOff>
    </xdr:to>
    <xdr:sp macro="" textlink="">
      <xdr:nvSpPr>
        <xdr:cNvPr id="42" name="Равнобедренный треугольник 41">
          <a:extLst>
            <a:ext uri="{FF2B5EF4-FFF2-40B4-BE49-F238E27FC236}">
              <a16:creationId xmlns:a16="http://schemas.microsoft.com/office/drawing/2014/main" id="{2BCC8AC2-E27B-4802-A119-AB0C300F3C48}"/>
            </a:ext>
          </a:extLst>
        </xdr:cNvPr>
        <xdr:cNvSpPr/>
      </xdr:nvSpPr>
      <xdr:spPr>
        <a:xfrm flipV="1">
          <a:off x="17202150" y="8334375"/>
          <a:ext cx="168087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523875</xdr:colOff>
      <xdr:row>32</xdr:row>
      <xdr:rowOff>57150</xdr:rowOff>
    </xdr:from>
    <xdr:to>
      <xdr:col>10</xdr:col>
      <xdr:colOff>409575</xdr:colOff>
      <xdr:row>34</xdr:row>
      <xdr:rowOff>9525</xdr:rowOff>
    </xdr:to>
    <xdr:sp macro="[0]!takeScreen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F3FE1CA1-0691-4414-BF48-11E8F7FECA01}"/>
            </a:ext>
          </a:extLst>
        </xdr:cNvPr>
        <xdr:cNvSpPr/>
      </xdr:nvSpPr>
      <xdr:spPr>
        <a:xfrm>
          <a:off x="6286500" y="10115550"/>
          <a:ext cx="1181100" cy="581025"/>
        </a:xfrm>
        <a:prstGeom prst="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 b="1">
              <a:solidFill>
                <a:sysClr val="windowText" lastClr="000000"/>
              </a:solidFill>
            </a:rPr>
            <a:t>Сделать скриншот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3</xdr:row>
      <xdr:rowOff>76200</xdr:rowOff>
    </xdr:from>
    <xdr:to>
      <xdr:col>8</xdr:col>
      <xdr:colOff>600075</xdr:colOff>
      <xdr:row>6</xdr:row>
      <xdr:rowOff>38100</xdr:rowOff>
    </xdr:to>
    <xdr:sp macro="[0]!Удаление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AC27E1C6-624B-493C-9BF0-545BAED496B5}"/>
            </a:ext>
          </a:extLst>
        </xdr:cNvPr>
        <xdr:cNvSpPr/>
      </xdr:nvSpPr>
      <xdr:spPr>
        <a:xfrm>
          <a:off x="4572000" y="647700"/>
          <a:ext cx="1514475" cy="533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48988</xdr:colOff>
      <xdr:row>4</xdr:row>
      <xdr:rowOff>13608</xdr:rowOff>
    </xdr:from>
    <xdr:to>
      <xdr:col>14</xdr:col>
      <xdr:colOff>884464</xdr:colOff>
      <xdr:row>6</xdr:row>
      <xdr:rowOff>0</xdr:rowOff>
    </xdr:to>
    <xdr:sp macro="[0]!Выкл" textlink="">
      <xdr:nvSpPr>
        <xdr:cNvPr id="13" name="Прямоугольник: скругленные углы 12">
          <a:extLst>
            <a:ext uri="{FF2B5EF4-FFF2-40B4-BE49-F238E27FC236}">
              <a16:creationId xmlns:a16="http://schemas.microsoft.com/office/drawing/2014/main" id="{FD26ABC7-C361-456C-83E7-937FC56EA68A}"/>
            </a:ext>
          </a:extLst>
        </xdr:cNvPr>
        <xdr:cNvSpPr/>
      </xdr:nvSpPr>
      <xdr:spPr>
        <a:xfrm>
          <a:off x="7873095" y="1074965"/>
          <a:ext cx="835476" cy="612321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Выкл</a:t>
          </a:r>
          <a:endParaRPr lang="ru-RU" sz="2400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14</xdr:col>
      <xdr:colOff>54430</xdr:colOff>
      <xdr:row>4</xdr:row>
      <xdr:rowOff>13607</xdr:rowOff>
    </xdr:from>
    <xdr:to>
      <xdr:col>14</xdr:col>
      <xdr:colOff>884464</xdr:colOff>
      <xdr:row>6</xdr:row>
      <xdr:rowOff>-1</xdr:rowOff>
    </xdr:to>
    <xdr:sp macro="[0]!Вкл" textlink="">
      <xdr:nvSpPr>
        <xdr:cNvPr id="12" name="Прямоугольник: скругленные углы 11">
          <a:extLst>
            <a:ext uri="{FF2B5EF4-FFF2-40B4-BE49-F238E27FC236}">
              <a16:creationId xmlns:a16="http://schemas.microsoft.com/office/drawing/2014/main" id="{0829B2C8-3548-640C-03AA-81122176B4F4}"/>
            </a:ext>
          </a:extLst>
        </xdr:cNvPr>
        <xdr:cNvSpPr/>
      </xdr:nvSpPr>
      <xdr:spPr>
        <a:xfrm>
          <a:off x="7878537" y="1074964"/>
          <a:ext cx="830034" cy="612321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8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Вкл.</a:t>
          </a:r>
        </a:p>
      </xdr:txBody>
    </xdr:sp>
    <xdr:clientData/>
  </xdr:twoCellAnchor>
  <xdr:twoCellAnchor>
    <xdr:from>
      <xdr:col>14</xdr:col>
      <xdr:colOff>54432</xdr:colOff>
      <xdr:row>29</xdr:row>
      <xdr:rowOff>1</xdr:rowOff>
    </xdr:from>
    <xdr:to>
      <xdr:col>14</xdr:col>
      <xdr:colOff>898072</xdr:colOff>
      <xdr:row>30</xdr:row>
      <xdr:rowOff>299357</xdr:rowOff>
    </xdr:to>
    <xdr:sp macro="[0]!Выкл6" textlink="">
      <xdr:nvSpPr>
        <xdr:cNvPr id="97" name="Прямоугольник: скругленные углы 96">
          <a:extLst>
            <a:ext uri="{FF2B5EF4-FFF2-40B4-BE49-F238E27FC236}">
              <a16:creationId xmlns:a16="http://schemas.microsoft.com/office/drawing/2014/main" id="{CE5804F5-1BA9-44C7-A031-FAA8B533C5CE}"/>
            </a:ext>
          </a:extLst>
        </xdr:cNvPr>
        <xdr:cNvSpPr/>
      </xdr:nvSpPr>
      <xdr:spPr>
        <a:xfrm>
          <a:off x="7878539" y="8885465"/>
          <a:ext cx="843640" cy="612321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Выкл</a:t>
          </a:r>
        </a:p>
      </xdr:txBody>
    </xdr:sp>
    <xdr:clientData/>
  </xdr:twoCellAnchor>
  <xdr:twoCellAnchor>
    <xdr:from>
      <xdr:col>14</xdr:col>
      <xdr:colOff>54432</xdr:colOff>
      <xdr:row>29</xdr:row>
      <xdr:rowOff>0</xdr:rowOff>
    </xdr:from>
    <xdr:to>
      <xdr:col>14</xdr:col>
      <xdr:colOff>898072</xdr:colOff>
      <xdr:row>30</xdr:row>
      <xdr:rowOff>299356</xdr:rowOff>
    </xdr:to>
    <xdr:sp macro="[0]!Вкл6" textlink="">
      <xdr:nvSpPr>
        <xdr:cNvPr id="98" name="Прямоугольник: скругленные углы 97">
          <a:extLst>
            <a:ext uri="{FF2B5EF4-FFF2-40B4-BE49-F238E27FC236}">
              <a16:creationId xmlns:a16="http://schemas.microsoft.com/office/drawing/2014/main" id="{CC1C86B5-2D65-4F4B-8432-9FE80CD077A5}"/>
            </a:ext>
          </a:extLst>
        </xdr:cNvPr>
        <xdr:cNvSpPr/>
      </xdr:nvSpPr>
      <xdr:spPr>
        <a:xfrm>
          <a:off x="7878539" y="8885464"/>
          <a:ext cx="843640" cy="612321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Вкл.</a:t>
          </a:r>
        </a:p>
      </xdr:txBody>
    </xdr:sp>
    <xdr:clientData/>
  </xdr:twoCellAnchor>
  <xdr:twoCellAnchor>
    <xdr:from>
      <xdr:col>14</xdr:col>
      <xdr:colOff>54432</xdr:colOff>
      <xdr:row>34</xdr:row>
      <xdr:rowOff>1</xdr:rowOff>
    </xdr:from>
    <xdr:to>
      <xdr:col>14</xdr:col>
      <xdr:colOff>898072</xdr:colOff>
      <xdr:row>35</xdr:row>
      <xdr:rowOff>299358</xdr:rowOff>
    </xdr:to>
    <xdr:sp macro="[0]!Выкл7" textlink="">
      <xdr:nvSpPr>
        <xdr:cNvPr id="99" name="Прямоугольник: скругленные углы 98">
          <a:extLst>
            <a:ext uri="{FF2B5EF4-FFF2-40B4-BE49-F238E27FC236}">
              <a16:creationId xmlns:a16="http://schemas.microsoft.com/office/drawing/2014/main" id="{B8130D9C-254A-4EDE-AB4A-DD84FD87E00A}"/>
            </a:ext>
          </a:extLst>
        </xdr:cNvPr>
        <xdr:cNvSpPr/>
      </xdr:nvSpPr>
      <xdr:spPr>
        <a:xfrm>
          <a:off x="7878539" y="10450287"/>
          <a:ext cx="843640" cy="612321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Выкл</a:t>
          </a:r>
        </a:p>
      </xdr:txBody>
    </xdr:sp>
    <xdr:clientData/>
  </xdr:twoCellAnchor>
  <xdr:twoCellAnchor>
    <xdr:from>
      <xdr:col>14</xdr:col>
      <xdr:colOff>54432</xdr:colOff>
      <xdr:row>34</xdr:row>
      <xdr:rowOff>0</xdr:rowOff>
    </xdr:from>
    <xdr:to>
      <xdr:col>14</xdr:col>
      <xdr:colOff>884464</xdr:colOff>
      <xdr:row>35</xdr:row>
      <xdr:rowOff>299357</xdr:rowOff>
    </xdr:to>
    <xdr:sp macro="[0]!Вкл7" textlink="">
      <xdr:nvSpPr>
        <xdr:cNvPr id="100" name="Прямоугольник: скругленные углы 99">
          <a:extLst>
            <a:ext uri="{FF2B5EF4-FFF2-40B4-BE49-F238E27FC236}">
              <a16:creationId xmlns:a16="http://schemas.microsoft.com/office/drawing/2014/main" id="{D74F57D6-BF69-4269-94C7-D61D24B4A9E0}"/>
            </a:ext>
          </a:extLst>
        </xdr:cNvPr>
        <xdr:cNvSpPr/>
      </xdr:nvSpPr>
      <xdr:spPr>
        <a:xfrm>
          <a:off x="7878539" y="10450286"/>
          <a:ext cx="830032" cy="612321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Вкл.</a:t>
          </a:r>
        </a:p>
      </xdr:txBody>
    </xdr:sp>
    <xdr:clientData/>
  </xdr:twoCellAnchor>
  <xdr:twoCellAnchor>
    <xdr:from>
      <xdr:col>14</xdr:col>
      <xdr:colOff>54432</xdr:colOff>
      <xdr:row>39</xdr:row>
      <xdr:rowOff>1</xdr:rowOff>
    </xdr:from>
    <xdr:to>
      <xdr:col>14</xdr:col>
      <xdr:colOff>884464</xdr:colOff>
      <xdr:row>40</xdr:row>
      <xdr:rowOff>299358</xdr:rowOff>
    </xdr:to>
    <xdr:sp macro="[0]!Выкл8" textlink="">
      <xdr:nvSpPr>
        <xdr:cNvPr id="101" name="Прямоугольник: скругленные углы 100">
          <a:extLst>
            <a:ext uri="{FF2B5EF4-FFF2-40B4-BE49-F238E27FC236}">
              <a16:creationId xmlns:a16="http://schemas.microsoft.com/office/drawing/2014/main" id="{54BAD310-E15D-4E61-8768-98C4CB8303C3}"/>
            </a:ext>
          </a:extLst>
        </xdr:cNvPr>
        <xdr:cNvSpPr/>
      </xdr:nvSpPr>
      <xdr:spPr>
        <a:xfrm>
          <a:off x="7878539" y="12015108"/>
          <a:ext cx="830032" cy="612321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Выкл</a:t>
          </a:r>
        </a:p>
      </xdr:txBody>
    </xdr:sp>
    <xdr:clientData/>
  </xdr:twoCellAnchor>
  <xdr:twoCellAnchor>
    <xdr:from>
      <xdr:col>14</xdr:col>
      <xdr:colOff>54432</xdr:colOff>
      <xdr:row>39</xdr:row>
      <xdr:rowOff>0</xdr:rowOff>
    </xdr:from>
    <xdr:to>
      <xdr:col>14</xdr:col>
      <xdr:colOff>884464</xdr:colOff>
      <xdr:row>40</xdr:row>
      <xdr:rowOff>299357</xdr:rowOff>
    </xdr:to>
    <xdr:sp macro="[0]!Вкл8" textlink="">
      <xdr:nvSpPr>
        <xdr:cNvPr id="102" name="Прямоугольник: скругленные углы 101">
          <a:extLst>
            <a:ext uri="{FF2B5EF4-FFF2-40B4-BE49-F238E27FC236}">
              <a16:creationId xmlns:a16="http://schemas.microsoft.com/office/drawing/2014/main" id="{5EF961F2-7B29-4D33-A1BA-A2B3D662CAB9}"/>
            </a:ext>
          </a:extLst>
        </xdr:cNvPr>
        <xdr:cNvSpPr/>
      </xdr:nvSpPr>
      <xdr:spPr>
        <a:xfrm>
          <a:off x="7878539" y="12015107"/>
          <a:ext cx="830032" cy="612321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Вкл.</a:t>
          </a:r>
        </a:p>
      </xdr:txBody>
    </xdr:sp>
    <xdr:clientData/>
  </xdr:twoCellAnchor>
  <xdr:twoCellAnchor>
    <xdr:from>
      <xdr:col>14</xdr:col>
      <xdr:colOff>54432</xdr:colOff>
      <xdr:row>24</xdr:row>
      <xdr:rowOff>1</xdr:rowOff>
    </xdr:from>
    <xdr:to>
      <xdr:col>14</xdr:col>
      <xdr:colOff>898072</xdr:colOff>
      <xdr:row>25</xdr:row>
      <xdr:rowOff>299358</xdr:rowOff>
    </xdr:to>
    <xdr:sp macro="[0]!Выкл5" textlink="">
      <xdr:nvSpPr>
        <xdr:cNvPr id="95" name="Прямоугольник: скругленные углы 94">
          <a:extLst>
            <a:ext uri="{FF2B5EF4-FFF2-40B4-BE49-F238E27FC236}">
              <a16:creationId xmlns:a16="http://schemas.microsoft.com/office/drawing/2014/main" id="{6272EE00-D74B-4DFF-A8E0-548AA9CF630A}"/>
            </a:ext>
          </a:extLst>
        </xdr:cNvPr>
        <xdr:cNvSpPr/>
      </xdr:nvSpPr>
      <xdr:spPr>
        <a:xfrm>
          <a:off x="7878539" y="7320644"/>
          <a:ext cx="843640" cy="612321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Выкл.</a:t>
          </a:r>
        </a:p>
      </xdr:txBody>
    </xdr:sp>
    <xdr:clientData/>
  </xdr:twoCellAnchor>
  <xdr:twoCellAnchor>
    <xdr:from>
      <xdr:col>14</xdr:col>
      <xdr:colOff>54432</xdr:colOff>
      <xdr:row>24</xdr:row>
      <xdr:rowOff>0</xdr:rowOff>
    </xdr:from>
    <xdr:to>
      <xdr:col>14</xdr:col>
      <xdr:colOff>884464</xdr:colOff>
      <xdr:row>25</xdr:row>
      <xdr:rowOff>299357</xdr:rowOff>
    </xdr:to>
    <xdr:sp macro="[0]!Вкл5" textlink="">
      <xdr:nvSpPr>
        <xdr:cNvPr id="96" name="Прямоугольник: скругленные углы 95">
          <a:extLst>
            <a:ext uri="{FF2B5EF4-FFF2-40B4-BE49-F238E27FC236}">
              <a16:creationId xmlns:a16="http://schemas.microsoft.com/office/drawing/2014/main" id="{CF917846-0501-4659-9293-186826DC535F}"/>
            </a:ext>
          </a:extLst>
        </xdr:cNvPr>
        <xdr:cNvSpPr/>
      </xdr:nvSpPr>
      <xdr:spPr>
        <a:xfrm>
          <a:off x="7878539" y="7320643"/>
          <a:ext cx="830032" cy="612321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Вкл.</a:t>
          </a:r>
        </a:p>
      </xdr:txBody>
    </xdr:sp>
    <xdr:clientData/>
  </xdr:twoCellAnchor>
  <xdr:twoCellAnchor>
    <xdr:from>
      <xdr:col>14</xdr:col>
      <xdr:colOff>54432</xdr:colOff>
      <xdr:row>14</xdr:row>
      <xdr:rowOff>13608</xdr:rowOff>
    </xdr:from>
    <xdr:to>
      <xdr:col>14</xdr:col>
      <xdr:colOff>884464</xdr:colOff>
      <xdr:row>16</xdr:row>
      <xdr:rowOff>0</xdr:rowOff>
    </xdr:to>
    <xdr:sp macro="[0]!Вкл3" textlink="">
      <xdr:nvSpPr>
        <xdr:cNvPr id="91" name="Прямоугольник: скругленные углы 90">
          <a:extLst>
            <a:ext uri="{FF2B5EF4-FFF2-40B4-BE49-F238E27FC236}">
              <a16:creationId xmlns:a16="http://schemas.microsoft.com/office/drawing/2014/main" id="{6A84A3BA-97FD-44C8-BA10-81D1AB372FB8}"/>
            </a:ext>
          </a:extLst>
        </xdr:cNvPr>
        <xdr:cNvSpPr/>
      </xdr:nvSpPr>
      <xdr:spPr>
        <a:xfrm>
          <a:off x="7878539" y="4204608"/>
          <a:ext cx="830032" cy="612321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Выкл</a:t>
          </a:r>
        </a:p>
      </xdr:txBody>
    </xdr:sp>
    <xdr:clientData/>
  </xdr:twoCellAnchor>
  <xdr:twoCellAnchor>
    <xdr:from>
      <xdr:col>14</xdr:col>
      <xdr:colOff>54432</xdr:colOff>
      <xdr:row>14</xdr:row>
      <xdr:rowOff>13609</xdr:rowOff>
    </xdr:from>
    <xdr:to>
      <xdr:col>14</xdr:col>
      <xdr:colOff>884464</xdr:colOff>
      <xdr:row>16</xdr:row>
      <xdr:rowOff>1</xdr:rowOff>
    </xdr:to>
    <xdr:sp macro="[0]!Выкл3" textlink="">
      <xdr:nvSpPr>
        <xdr:cNvPr id="92" name="Прямоугольник: скругленные углы 91">
          <a:extLst>
            <a:ext uri="{FF2B5EF4-FFF2-40B4-BE49-F238E27FC236}">
              <a16:creationId xmlns:a16="http://schemas.microsoft.com/office/drawing/2014/main" id="{AB3BF6C3-3D25-40A1-9CBB-7630CA053797}"/>
            </a:ext>
          </a:extLst>
        </xdr:cNvPr>
        <xdr:cNvSpPr/>
      </xdr:nvSpPr>
      <xdr:spPr>
        <a:xfrm>
          <a:off x="7878539" y="4204609"/>
          <a:ext cx="830032" cy="612321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Вкл.</a:t>
          </a:r>
        </a:p>
      </xdr:txBody>
    </xdr:sp>
    <xdr:clientData/>
  </xdr:twoCellAnchor>
  <xdr:twoCellAnchor>
    <xdr:from>
      <xdr:col>14</xdr:col>
      <xdr:colOff>40825</xdr:colOff>
      <xdr:row>19</xdr:row>
      <xdr:rowOff>1</xdr:rowOff>
    </xdr:from>
    <xdr:to>
      <xdr:col>14</xdr:col>
      <xdr:colOff>884465</xdr:colOff>
      <xdr:row>20</xdr:row>
      <xdr:rowOff>299357</xdr:rowOff>
    </xdr:to>
    <xdr:sp macro="[0]!Выкл4" textlink="">
      <xdr:nvSpPr>
        <xdr:cNvPr id="93" name="Прямоугольник: скругленные углы 92">
          <a:extLst>
            <a:ext uri="{FF2B5EF4-FFF2-40B4-BE49-F238E27FC236}">
              <a16:creationId xmlns:a16="http://schemas.microsoft.com/office/drawing/2014/main" id="{A04ACF48-89F1-4FFF-A21B-0E8237F0FCAA}"/>
            </a:ext>
          </a:extLst>
        </xdr:cNvPr>
        <xdr:cNvSpPr/>
      </xdr:nvSpPr>
      <xdr:spPr>
        <a:xfrm>
          <a:off x="7864932" y="5755822"/>
          <a:ext cx="843640" cy="612321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Выкл</a:t>
          </a:r>
        </a:p>
      </xdr:txBody>
    </xdr:sp>
    <xdr:clientData/>
  </xdr:twoCellAnchor>
  <xdr:twoCellAnchor>
    <xdr:from>
      <xdr:col>14</xdr:col>
      <xdr:colOff>54431</xdr:colOff>
      <xdr:row>9</xdr:row>
      <xdr:rowOff>21772</xdr:rowOff>
    </xdr:from>
    <xdr:to>
      <xdr:col>14</xdr:col>
      <xdr:colOff>884464</xdr:colOff>
      <xdr:row>11</xdr:row>
      <xdr:rowOff>8165</xdr:rowOff>
    </xdr:to>
    <xdr:sp macro="[0]!Выкл2" textlink="">
      <xdr:nvSpPr>
        <xdr:cNvPr id="23" name="Прямоугольник: скругленные углы 22">
          <a:extLst>
            <a:ext uri="{FF2B5EF4-FFF2-40B4-BE49-F238E27FC236}">
              <a16:creationId xmlns:a16="http://schemas.microsoft.com/office/drawing/2014/main" id="{5042A5E8-EE94-3B67-0E90-33E0801BC7A7}"/>
            </a:ext>
          </a:extLst>
        </xdr:cNvPr>
        <xdr:cNvSpPr/>
      </xdr:nvSpPr>
      <xdr:spPr>
        <a:xfrm>
          <a:off x="7878538" y="2647951"/>
          <a:ext cx="830033" cy="612321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ru-RU" sz="18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Выкл</a:t>
          </a:r>
          <a:endParaRPr lang="ru-RU" sz="17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40825</xdr:colOff>
      <xdr:row>19</xdr:row>
      <xdr:rowOff>0</xdr:rowOff>
    </xdr:from>
    <xdr:to>
      <xdr:col>14</xdr:col>
      <xdr:colOff>870857</xdr:colOff>
      <xdr:row>20</xdr:row>
      <xdr:rowOff>299356</xdr:rowOff>
    </xdr:to>
    <xdr:sp macro="[0]!Вкл4" textlink="">
      <xdr:nvSpPr>
        <xdr:cNvPr id="94" name="Прямоугольник: скругленные углы 93">
          <a:extLst>
            <a:ext uri="{FF2B5EF4-FFF2-40B4-BE49-F238E27FC236}">
              <a16:creationId xmlns:a16="http://schemas.microsoft.com/office/drawing/2014/main" id="{C43859FB-AF68-4676-AE7A-7D71C7BEC505}"/>
            </a:ext>
          </a:extLst>
        </xdr:cNvPr>
        <xdr:cNvSpPr/>
      </xdr:nvSpPr>
      <xdr:spPr>
        <a:xfrm>
          <a:off x="7864932" y="5755821"/>
          <a:ext cx="830032" cy="612321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Вкл.</a:t>
          </a:r>
        </a:p>
      </xdr:txBody>
    </xdr:sp>
    <xdr:clientData/>
  </xdr:twoCellAnchor>
  <xdr:twoCellAnchor>
    <xdr:from>
      <xdr:col>14</xdr:col>
      <xdr:colOff>54432</xdr:colOff>
      <xdr:row>9</xdr:row>
      <xdr:rowOff>21771</xdr:rowOff>
    </xdr:from>
    <xdr:to>
      <xdr:col>14</xdr:col>
      <xdr:colOff>898072</xdr:colOff>
      <xdr:row>11</xdr:row>
      <xdr:rowOff>8164</xdr:rowOff>
    </xdr:to>
    <xdr:sp macro="[0]!Вкл2" textlink="">
      <xdr:nvSpPr>
        <xdr:cNvPr id="30" name="Прямоугольник: скругленные углы 29">
          <a:extLst>
            <a:ext uri="{FF2B5EF4-FFF2-40B4-BE49-F238E27FC236}">
              <a16:creationId xmlns:a16="http://schemas.microsoft.com/office/drawing/2014/main" id="{1ECBB7C0-A4E4-FD80-00E6-689848C30B27}"/>
            </a:ext>
          </a:extLst>
        </xdr:cNvPr>
        <xdr:cNvSpPr/>
      </xdr:nvSpPr>
      <xdr:spPr>
        <a:xfrm>
          <a:off x="7878539" y="2647950"/>
          <a:ext cx="843640" cy="612321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Вкл.</a:t>
          </a:r>
        </a:p>
      </xdr:txBody>
    </xdr:sp>
    <xdr:clientData/>
  </xdr:twoCellAnchor>
  <xdr:twoCellAnchor>
    <xdr:from>
      <xdr:col>44</xdr:col>
      <xdr:colOff>23811</xdr:colOff>
      <xdr:row>22</xdr:row>
      <xdr:rowOff>122465</xdr:rowOff>
    </xdr:from>
    <xdr:to>
      <xdr:col>60</xdr:col>
      <xdr:colOff>13606</xdr:colOff>
      <xdr:row>25</xdr:row>
      <xdr:rowOff>204107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B388C08B-6EF3-48C9-BE38-B6CFFDCB338D}"/>
            </a:ext>
          </a:extLst>
        </xdr:cNvPr>
        <xdr:cNvSpPr/>
      </xdr:nvSpPr>
      <xdr:spPr>
        <a:xfrm>
          <a:off x="9828958" y="6711524"/>
          <a:ext cx="5010030" cy="1022936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22</xdr:col>
      <xdr:colOff>68038</xdr:colOff>
      <xdr:row>10</xdr:row>
      <xdr:rowOff>98861</xdr:rowOff>
    </xdr:from>
    <xdr:to>
      <xdr:col>29</xdr:col>
      <xdr:colOff>572688</xdr:colOff>
      <xdr:row>17</xdr:row>
      <xdr:rowOff>206508</xdr:rowOff>
    </xdr:to>
    <xdr:sp macro="" textlink="">
      <xdr:nvSpPr>
        <xdr:cNvPr id="4" name="Дуга 3">
          <a:extLst>
            <a:ext uri="{FF2B5EF4-FFF2-40B4-BE49-F238E27FC236}">
              <a16:creationId xmlns:a16="http://schemas.microsoft.com/office/drawing/2014/main" id="{B0431E81-6FE5-42A3-8D31-0881B85B0831}"/>
            </a:ext>
          </a:extLst>
        </xdr:cNvPr>
        <xdr:cNvSpPr/>
      </xdr:nvSpPr>
      <xdr:spPr>
        <a:xfrm rot="16200000">
          <a:off x="6199254" y="3288538"/>
          <a:ext cx="2298397" cy="2423257"/>
        </a:xfrm>
        <a:prstGeom prst="arc">
          <a:avLst>
            <a:gd name="adj1" fmla="val 10825981"/>
            <a:gd name="adj2" fmla="val 0"/>
          </a:avLst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23</xdr:col>
      <xdr:colOff>179298</xdr:colOff>
      <xdr:row>11</xdr:row>
      <xdr:rowOff>172823</xdr:rowOff>
    </xdr:from>
    <xdr:to>
      <xdr:col>29</xdr:col>
      <xdr:colOff>136819</xdr:colOff>
      <xdr:row>16</xdr:row>
      <xdr:rowOff>115999</xdr:rowOff>
    </xdr:to>
    <xdr:sp macro="" textlink="">
      <xdr:nvSpPr>
        <xdr:cNvPr id="6" name="Дуга 5">
          <a:extLst>
            <a:ext uri="{FF2B5EF4-FFF2-40B4-BE49-F238E27FC236}">
              <a16:creationId xmlns:a16="http://schemas.microsoft.com/office/drawing/2014/main" id="{C000D5CF-CA01-4C98-879A-2E86B9B6E877}"/>
            </a:ext>
          </a:extLst>
        </xdr:cNvPr>
        <xdr:cNvSpPr/>
      </xdr:nvSpPr>
      <xdr:spPr>
        <a:xfrm rot="16200000">
          <a:off x="15123911" y="3706710"/>
          <a:ext cx="1511999" cy="1571168"/>
        </a:xfrm>
        <a:prstGeom prst="arc">
          <a:avLst>
            <a:gd name="adj1" fmla="val 10825981"/>
            <a:gd name="adj2" fmla="val 0"/>
          </a:avLst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60</xdr:col>
      <xdr:colOff>1</xdr:colOff>
      <xdr:row>23</xdr:row>
      <xdr:rowOff>304959</xdr:rowOff>
    </xdr:from>
    <xdr:to>
      <xdr:col>60</xdr:col>
      <xdr:colOff>246529</xdr:colOff>
      <xdr:row>23</xdr:row>
      <xdr:rowOff>304959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397057BF-E570-4BA8-8BE4-BE9122C0CA17}"/>
            </a:ext>
          </a:extLst>
        </xdr:cNvPr>
        <xdr:cNvCxnSpPr/>
      </xdr:nvCxnSpPr>
      <xdr:spPr>
        <a:xfrm flipH="1">
          <a:off x="17156207" y="6894018"/>
          <a:ext cx="246528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250368</xdr:colOff>
      <xdr:row>20</xdr:row>
      <xdr:rowOff>299357</xdr:rowOff>
    </xdr:from>
    <xdr:to>
      <xdr:col>60</xdr:col>
      <xdr:colOff>250368</xdr:colOff>
      <xdr:row>23</xdr:row>
      <xdr:rowOff>296464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53F51354-1D35-4B0A-BA85-9F618ADAD168}"/>
            </a:ext>
          </a:extLst>
        </xdr:cNvPr>
        <xdr:cNvCxnSpPr/>
      </xdr:nvCxnSpPr>
      <xdr:spPr>
        <a:xfrm>
          <a:off x="17406574" y="5947122"/>
          <a:ext cx="0" cy="938401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280306</xdr:colOff>
      <xdr:row>14</xdr:row>
      <xdr:rowOff>0</xdr:rowOff>
    </xdr:from>
    <xdr:to>
      <xdr:col>59</xdr:col>
      <xdr:colOff>280306</xdr:colOff>
      <xdr:row>20</xdr:row>
      <xdr:rowOff>299357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5D594B65-5CE0-4019-AAF7-1BA0BD6BF7C1}"/>
            </a:ext>
          </a:extLst>
        </xdr:cNvPr>
        <xdr:cNvCxnSpPr/>
      </xdr:nvCxnSpPr>
      <xdr:spPr>
        <a:xfrm>
          <a:off x="16894627" y="3755571"/>
          <a:ext cx="0" cy="186417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280713</xdr:colOff>
      <xdr:row>20</xdr:row>
      <xdr:rowOff>299357</xdr:rowOff>
    </xdr:from>
    <xdr:to>
      <xdr:col>60</xdr:col>
      <xdr:colOff>242645</xdr:colOff>
      <xdr:row>20</xdr:row>
      <xdr:rowOff>299357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60B36842-37D6-4552-969B-0A7B53184B29}"/>
            </a:ext>
          </a:extLst>
        </xdr:cNvPr>
        <xdr:cNvCxnSpPr/>
      </xdr:nvCxnSpPr>
      <xdr:spPr>
        <a:xfrm flipH="1">
          <a:off x="14469679" y="6290254"/>
          <a:ext cx="54000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14</xdr:row>
      <xdr:rowOff>521</xdr:rowOff>
    </xdr:from>
    <xdr:to>
      <xdr:col>59</xdr:col>
      <xdr:colOff>285751</xdr:colOff>
      <xdr:row>14</xdr:row>
      <xdr:rowOff>521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F71EC11A-0501-475C-8CCE-55AA11757566}"/>
            </a:ext>
          </a:extLst>
        </xdr:cNvPr>
        <xdr:cNvCxnSpPr/>
      </xdr:nvCxnSpPr>
      <xdr:spPr>
        <a:xfrm flipH="1">
          <a:off x="20488275" y="4201046"/>
          <a:ext cx="1590676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336177</xdr:colOff>
      <xdr:row>11</xdr:row>
      <xdr:rowOff>0</xdr:rowOff>
    </xdr:from>
    <xdr:to>
      <xdr:col>60</xdr:col>
      <xdr:colOff>336177</xdr:colOff>
      <xdr:row>14</xdr:row>
      <xdr:rowOff>11206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E3F91ED6-D61D-4177-86DF-5DF8ED01F388}"/>
            </a:ext>
          </a:extLst>
        </xdr:cNvPr>
        <xdr:cNvCxnSpPr/>
      </xdr:nvCxnSpPr>
      <xdr:spPr>
        <a:xfrm>
          <a:off x="18220765" y="3563471"/>
          <a:ext cx="0" cy="9525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</xdr:colOff>
      <xdr:row>11</xdr:row>
      <xdr:rowOff>0</xdr:rowOff>
    </xdr:from>
    <xdr:to>
      <xdr:col>60</xdr:col>
      <xdr:colOff>336176</xdr:colOff>
      <xdr:row>11</xdr:row>
      <xdr:rowOff>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C2FB97C1-041B-45D4-96DC-000FB4DE8571}"/>
            </a:ext>
          </a:extLst>
        </xdr:cNvPr>
        <xdr:cNvCxnSpPr/>
      </xdr:nvCxnSpPr>
      <xdr:spPr>
        <a:xfrm flipH="1">
          <a:off x="16506266" y="3137647"/>
          <a:ext cx="986116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224118</xdr:colOff>
      <xdr:row>24</xdr:row>
      <xdr:rowOff>21931</xdr:rowOff>
    </xdr:from>
    <xdr:to>
      <xdr:col>69</xdr:col>
      <xdr:colOff>11206</xdr:colOff>
      <xdr:row>24</xdr:row>
      <xdr:rowOff>21931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EE5E81B1-4138-4221-A4B6-690E62F54704}"/>
            </a:ext>
          </a:extLst>
        </xdr:cNvPr>
        <xdr:cNvCxnSpPr/>
      </xdr:nvCxnSpPr>
      <xdr:spPr>
        <a:xfrm flipH="1">
          <a:off x="17088971" y="7238519"/>
          <a:ext cx="1176617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220115</xdr:colOff>
      <xdr:row>24</xdr:row>
      <xdr:rowOff>29616</xdr:rowOff>
    </xdr:from>
    <xdr:to>
      <xdr:col>63</xdr:col>
      <xdr:colOff>220115</xdr:colOff>
      <xdr:row>29</xdr:row>
      <xdr:rowOff>280147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18609701-8D68-4592-8723-23A1563F463B}"/>
            </a:ext>
          </a:extLst>
        </xdr:cNvPr>
        <xdr:cNvCxnSpPr/>
      </xdr:nvCxnSpPr>
      <xdr:spPr>
        <a:xfrm>
          <a:off x="18026262" y="6618675"/>
          <a:ext cx="0" cy="181935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11206</xdr:colOff>
      <xdr:row>29</xdr:row>
      <xdr:rowOff>291353</xdr:rowOff>
    </xdr:from>
    <xdr:to>
      <xdr:col>63</xdr:col>
      <xdr:colOff>228708</xdr:colOff>
      <xdr:row>29</xdr:row>
      <xdr:rowOff>291353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EFEEC5CB-B900-4621-B389-915557785C7C}"/>
            </a:ext>
          </a:extLst>
        </xdr:cNvPr>
        <xdr:cNvCxnSpPr/>
      </xdr:nvCxnSpPr>
      <xdr:spPr>
        <a:xfrm flipH="1">
          <a:off x="12012706" y="9076765"/>
          <a:ext cx="4498149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311658</xdr:colOff>
      <xdr:row>19</xdr:row>
      <xdr:rowOff>256134</xdr:rowOff>
    </xdr:from>
    <xdr:to>
      <xdr:col>41</xdr:col>
      <xdr:colOff>504263</xdr:colOff>
      <xdr:row>21</xdr:row>
      <xdr:rowOff>44023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9B7F93C9-6717-4C64-AAB5-FC2D5E33AFEF}"/>
            </a:ext>
          </a:extLst>
        </xdr:cNvPr>
        <xdr:cNvSpPr txBox="1"/>
      </xdr:nvSpPr>
      <xdr:spPr>
        <a:xfrm>
          <a:off x="8380694" y="6324920"/>
          <a:ext cx="5308890" cy="4138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2000">
              <a:latin typeface="Bahnschrift SemiCondensed" panose="020B0502040204020203" pitchFamily="34" charset="0"/>
            </a:rPr>
            <a:t>Герметик, подгонка и установка экстерьера</a:t>
          </a:r>
        </a:p>
      </xdr:txBody>
    </xdr:sp>
    <xdr:clientData/>
  </xdr:twoCellAnchor>
  <xdr:twoCellAnchor>
    <xdr:from>
      <xdr:col>27</xdr:col>
      <xdr:colOff>646784</xdr:colOff>
      <xdr:row>14</xdr:row>
      <xdr:rowOff>157538</xdr:rowOff>
    </xdr:from>
    <xdr:to>
      <xdr:col>31</xdr:col>
      <xdr:colOff>5443</xdr:colOff>
      <xdr:row>14</xdr:row>
      <xdr:rowOff>157538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7569CF2F-621E-4B31-8C84-52F4AC119887}"/>
            </a:ext>
          </a:extLst>
        </xdr:cNvPr>
        <xdr:cNvCxnSpPr/>
      </xdr:nvCxnSpPr>
      <xdr:spPr>
        <a:xfrm>
          <a:off x="6769998" y="3945767"/>
          <a:ext cx="654059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647699</xdr:colOff>
      <xdr:row>14</xdr:row>
      <xdr:rowOff>152400</xdr:rowOff>
    </xdr:from>
    <xdr:to>
      <xdr:col>33</xdr:col>
      <xdr:colOff>108857</xdr:colOff>
      <xdr:row>14</xdr:row>
      <xdr:rowOff>152400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1504C3FE-43BE-4D3D-B2D3-CE205E511E30}"/>
            </a:ext>
          </a:extLst>
        </xdr:cNvPr>
        <xdr:cNvCxnSpPr/>
      </xdr:nvCxnSpPr>
      <xdr:spPr>
        <a:xfrm flipH="1">
          <a:off x="8066313" y="3940629"/>
          <a:ext cx="108858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109317</xdr:colOff>
      <xdr:row>14</xdr:row>
      <xdr:rowOff>151943</xdr:rowOff>
    </xdr:from>
    <xdr:to>
      <xdr:col>33</xdr:col>
      <xdr:colOff>109317</xdr:colOff>
      <xdr:row>16</xdr:row>
      <xdr:rowOff>3</xdr:rowOff>
    </xdr:to>
    <xdr:cxnSp macro="">
      <xdr:nvCxnSpPr>
        <xdr:cNvPr id="54" name="Прямая со стрелкой 53">
          <a:extLst>
            <a:ext uri="{FF2B5EF4-FFF2-40B4-BE49-F238E27FC236}">
              <a16:creationId xmlns:a16="http://schemas.microsoft.com/office/drawing/2014/main" id="{612F6CF8-2F07-448A-88DA-543B02D43D32}"/>
            </a:ext>
          </a:extLst>
        </xdr:cNvPr>
        <xdr:cNvCxnSpPr/>
      </xdr:nvCxnSpPr>
      <xdr:spPr>
        <a:xfrm>
          <a:off x="8175631" y="3940172"/>
          <a:ext cx="0" cy="479431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313765</xdr:colOff>
      <xdr:row>18</xdr:row>
      <xdr:rowOff>4201</xdr:rowOff>
    </xdr:from>
    <xdr:to>
      <xdr:col>72</xdr:col>
      <xdr:colOff>369794</xdr:colOff>
      <xdr:row>21</xdr:row>
      <xdr:rowOff>179294</xdr:rowOff>
    </xdr:to>
    <xdr:sp macro="" textlink="">
      <xdr:nvSpPr>
        <xdr:cNvPr id="55" name="Стрелка: изогнутая вниз 54">
          <a:extLst>
            <a:ext uri="{FF2B5EF4-FFF2-40B4-BE49-F238E27FC236}">
              <a16:creationId xmlns:a16="http://schemas.microsoft.com/office/drawing/2014/main" id="{0D688E82-A3C6-408B-8DC9-C0D9BB821225}"/>
            </a:ext>
          </a:extLst>
        </xdr:cNvPr>
        <xdr:cNvSpPr/>
      </xdr:nvSpPr>
      <xdr:spPr>
        <a:xfrm flipV="1">
          <a:off x="22381999" y="5796592"/>
          <a:ext cx="2580154" cy="1121640"/>
        </a:xfrm>
        <a:prstGeom prst="curvedDownArrow">
          <a:avLst>
            <a:gd name="adj1" fmla="val 0"/>
            <a:gd name="adj2" fmla="val 9164"/>
            <a:gd name="adj3" fmla="val 11669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60</xdr:col>
      <xdr:colOff>392206</xdr:colOff>
      <xdr:row>0</xdr:row>
      <xdr:rowOff>168088</xdr:rowOff>
    </xdr:from>
    <xdr:to>
      <xdr:col>72</xdr:col>
      <xdr:colOff>134470</xdr:colOff>
      <xdr:row>1</xdr:row>
      <xdr:rowOff>291353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D8868F22-114C-4D23-B0DF-D3FE408C5E83}"/>
            </a:ext>
          </a:extLst>
        </xdr:cNvPr>
        <xdr:cNvSpPr txBox="1"/>
      </xdr:nvSpPr>
      <xdr:spPr>
        <a:xfrm>
          <a:off x="18276794" y="168088"/>
          <a:ext cx="2252382" cy="5490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 b="0">
              <a:latin typeface="Bahnschrift SemiCondensed" panose="020B0502040204020203" pitchFamily="34" charset="0"/>
              <a:cs typeface="Arial" panose="020B0604020202020204" pitchFamily="34" charset="0"/>
            </a:rPr>
            <a:t>Установка надстроек и ремонт сборки</a:t>
          </a:r>
        </a:p>
      </xdr:txBody>
    </xdr:sp>
    <xdr:clientData/>
  </xdr:twoCellAnchor>
  <xdr:twoCellAnchor>
    <xdr:from>
      <xdr:col>63</xdr:col>
      <xdr:colOff>369794</xdr:colOff>
      <xdr:row>12</xdr:row>
      <xdr:rowOff>190495</xdr:rowOff>
    </xdr:from>
    <xdr:to>
      <xdr:col>66</xdr:col>
      <xdr:colOff>11206</xdr:colOff>
      <xdr:row>15</xdr:row>
      <xdr:rowOff>156878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18916316-A014-4C26-960F-BD2D8DD9B2DA}"/>
            </a:ext>
          </a:extLst>
        </xdr:cNvPr>
        <xdr:cNvSpPr txBox="1"/>
      </xdr:nvSpPr>
      <xdr:spPr>
        <a:xfrm rot="16200000">
          <a:off x="17867779" y="3950069"/>
          <a:ext cx="907677" cy="2913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>
              <a:latin typeface="Bahnschrift SemiCondensed" panose="020B0502040204020203" pitchFamily="34" charset="0"/>
              <a:cs typeface="Arial" panose="020B0604020202020204" pitchFamily="34" charset="0"/>
            </a:rPr>
            <a:t>Аудит</a:t>
          </a:r>
        </a:p>
      </xdr:txBody>
    </xdr:sp>
    <xdr:clientData/>
  </xdr:twoCellAnchor>
  <xdr:twoCellAnchor>
    <xdr:from>
      <xdr:col>59</xdr:col>
      <xdr:colOff>347383</xdr:colOff>
      <xdr:row>13</xdr:row>
      <xdr:rowOff>212911</xdr:rowOff>
    </xdr:from>
    <xdr:to>
      <xdr:col>59</xdr:col>
      <xdr:colOff>571501</xdr:colOff>
      <xdr:row>18</xdr:row>
      <xdr:rowOff>134469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3A683862-D61D-47A8-A2D8-5AD1206D0F79}"/>
            </a:ext>
          </a:extLst>
        </xdr:cNvPr>
        <xdr:cNvSpPr txBox="1"/>
      </xdr:nvSpPr>
      <xdr:spPr>
        <a:xfrm rot="16200000">
          <a:off x="13956927" y="5037043"/>
          <a:ext cx="1490382" cy="2241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>
              <a:latin typeface="Bahnschrift SemiCondensed" panose="020B0502040204020203" pitchFamily="34" charset="0"/>
              <a:cs typeface="Arial" panose="020B0604020202020204" pitchFamily="34" charset="0"/>
            </a:rPr>
            <a:t>Тормозной стенд</a:t>
          </a:r>
        </a:p>
      </xdr:txBody>
    </xdr:sp>
    <xdr:clientData/>
  </xdr:twoCellAnchor>
  <xdr:twoCellAnchor>
    <xdr:from>
      <xdr:col>69</xdr:col>
      <xdr:colOff>100857</xdr:colOff>
      <xdr:row>14</xdr:row>
      <xdr:rowOff>22409</xdr:rowOff>
    </xdr:from>
    <xdr:to>
      <xdr:col>72</xdr:col>
      <xdr:colOff>33626</xdr:colOff>
      <xdr:row>17</xdr:row>
      <xdr:rowOff>291347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FAEE815D-E9A0-41A1-B1E9-038F2A7B9953}"/>
            </a:ext>
          </a:extLst>
        </xdr:cNvPr>
        <xdr:cNvSpPr txBox="1"/>
      </xdr:nvSpPr>
      <xdr:spPr>
        <a:xfrm rot="16200000">
          <a:off x="19341361" y="4852141"/>
          <a:ext cx="1210232" cy="5602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>
              <a:latin typeface="Bahnschrift SemiCondensed" panose="020B0502040204020203" pitchFamily="34" charset="0"/>
              <a:cs typeface="Arial" panose="020B0604020202020204" pitchFamily="34" charset="0"/>
            </a:rPr>
            <a:t>Настройка схождения</a:t>
          </a:r>
        </a:p>
      </xdr:txBody>
    </xdr:sp>
    <xdr:clientData/>
  </xdr:twoCellAnchor>
  <xdr:twoCellAnchor>
    <xdr:from>
      <xdr:col>69</xdr:col>
      <xdr:colOff>33619</xdr:colOff>
      <xdr:row>9</xdr:row>
      <xdr:rowOff>212908</xdr:rowOff>
    </xdr:from>
    <xdr:to>
      <xdr:col>72</xdr:col>
      <xdr:colOff>56035</xdr:colOff>
      <xdr:row>14</xdr:row>
      <xdr:rowOff>56023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D0982619-1D1A-4F14-AE34-EE351CEF0FD7}"/>
            </a:ext>
          </a:extLst>
        </xdr:cNvPr>
        <xdr:cNvSpPr txBox="1"/>
      </xdr:nvSpPr>
      <xdr:spPr>
        <a:xfrm rot="16200000">
          <a:off x="19419798" y="3529846"/>
          <a:ext cx="1411939" cy="6499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>
              <a:latin typeface="Bahnschrift SemiCondensed" panose="020B0502040204020203" pitchFamily="34" charset="0"/>
              <a:cs typeface="Arial" panose="020B0604020202020204" pitchFamily="34" charset="0"/>
            </a:rPr>
            <a:t>Инспекция</a:t>
          </a:r>
          <a:r>
            <a:rPr lang="ru-RU" sz="1400" baseline="0">
              <a:latin typeface="Bahnschrift SemiCondensed" panose="020B0502040204020203" pitchFamily="34" charset="0"/>
              <a:cs typeface="Arial" panose="020B0604020202020204" pitchFamily="34" charset="0"/>
            </a:rPr>
            <a:t> внешнего вида</a:t>
          </a:r>
          <a:endParaRPr lang="ru-RU" sz="1400">
            <a:latin typeface="Bahnschrift SemiCondensed" panose="020B0502040204020203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324969</xdr:colOff>
      <xdr:row>28</xdr:row>
      <xdr:rowOff>302559</xdr:rowOff>
    </xdr:from>
    <xdr:to>
      <xdr:col>16</xdr:col>
      <xdr:colOff>324969</xdr:colOff>
      <xdr:row>29</xdr:row>
      <xdr:rowOff>302012</xdr:rowOff>
    </xdr:to>
    <xdr:cxnSp macro="">
      <xdr:nvCxnSpPr>
        <xdr:cNvPr id="44" name="Прямая со стрелкой 43">
          <a:extLst>
            <a:ext uri="{FF2B5EF4-FFF2-40B4-BE49-F238E27FC236}">
              <a16:creationId xmlns:a16="http://schemas.microsoft.com/office/drawing/2014/main" id="{C8B0AE6C-3CBF-4E6A-BAB1-A89A58A3BC90}"/>
            </a:ext>
          </a:extLst>
        </xdr:cNvPr>
        <xdr:cNvCxnSpPr/>
      </xdr:nvCxnSpPr>
      <xdr:spPr>
        <a:xfrm flipV="1">
          <a:off x="2029944" y="8789334"/>
          <a:ext cx="0" cy="313778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581587</xdr:colOff>
      <xdr:row>30</xdr:row>
      <xdr:rowOff>0</xdr:rowOff>
    </xdr:from>
    <xdr:to>
      <xdr:col>43</xdr:col>
      <xdr:colOff>0</xdr:colOff>
      <xdr:row>30</xdr:row>
      <xdr:rowOff>0</xdr:rowOff>
    </xdr:to>
    <xdr:cxnSp macro="">
      <xdr:nvCxnSpPr>
        <xdr:cNvPr id="50" name="Прямая со стрелкой 49">
          <a:extLst>
            <a:ext uri="{FF2B5EF4-FFF2-40B4-BE49-F238E27FC236}">
              <a16:creationId xmlns:a16="http://schemas.microsoft.com/office/drawing/2014/main" id="{88C11543-7B3C-4D8C-934B-BF6BE39AA3E8}"/>
            </a:ext>
          </a:extLst>
        </xdr:cNvPr>
        <xdr:cNvCxnSpPr/>
      </xdr:nvCxnSpPr>
      <xdr:spPr>
        <a:xfrm flipH="1">
          <a:off x="9221322" y="9099176"/>
          <a:ext cx="807943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577105</xdr:colOff>
      <xdr:row>29</xdr:row>
      <xdr:rowOff>309283</xdr:rowOff>
    </xdr:from>
    <xdr:to>
      <xdr:col>36</xdr:col>
      <xdr:colOff>102577</xdr:colOff>
      <xdr:row>29</xdr:row>
      <xdr:rowOff>309283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9866B398-2F59-4CB3-9715-661F9D200FA1}"/>
            </a:ext>
          </a:extLst>
        </xdr:cNvPr>
        <xdr:cNvCxnSpPr/>
      </xdr:nvCxnSpPr>
      <xdr:spPr>
        <a:xfrm flipH="1">
          <a:off x="7149355" y="9130898"/>
          <a:ext cx="800357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328836</xdr:colOff>
      <xdr:row>29</xdr:row>
      <xdr:rowOff>302559</xdr:rowOff>
    </xdr:from>
    <xdr:to>
      <xdr:col>19</xdr:col>
      <xdr:colOff>11206</xdr:colOff>
      <xdr:row>29</xdr:row>
      <xdr:rowOff>302559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1E16837F-55F1-4A35-A2B3-AD19762E5DE2}"/>
            </a:ext>
          </a:extLst>
        </xdr:cNvPr>
        <xdr:cNvCxnSpPr/>
      </xdr:nvCxnSpPr>
      <xdr:spPr>
        <a:xfrm flipH="1">
          <a:off x="2033811" y="9103659"/>
          <a:ext cx="33007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336176</xdr:colOff>
      <xdr:row>23</xdr:row>
      <xdr:rowOff>311305</xdr:rowOff>
    </xdr:from>
    <xdr:to>
      <xdr:col>16</xdr:col>
      <xdr:colOff>336176</xdr:colOff>
      <xdr:row>24</xdr:row>
      <xdr:rowOff>310871</xdr:rowOff>
    </xdr:to>
    <xdr:cxnSp macro="">
      <xdr:nvCxnSpPr>
        <xdr:cNvPr id="65" name="Прямая соединительная линия 64">
          <a:extLst>
            <a:ext uri="{FF2B5EF4-FFF2-40B4-BE49-F238E27FC236}">
              <a16:creationId xmlns:a16="http://schemas.microsoft.com/office/drawing/2014/main" id="{B824907C-040B-45E0-90F1-482D887EE07A}"/>
            </a:ext>
          </a:extLst>
        </xdr:cNvPr>
        <xdr:cNvCxnSpPr/>
      </xdr:nvCxnSpPr>
      <xdr:spPr>
        <a:xfrm>
          <a:off x="2041151" y="7226455"/>
          <a:ext cx="0" cy="313891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339182</xdr:colOff>
      <xdr:row>23</xdr:row>
      <xdr:rowOff>310287</xdr:rowOff>
    </xdr:from>
    <xdr:to>
      <xdr:col>19</xdr:col>
      <xdr:colOff>7728</xdr:colOff>
      <xdr:row>23</xdr:row>
      <xdr:rowOff>310287</xdr:rowOff>
    </xdr:to>
    <xdr:cxnSp macro="">
      <xdr:nvCxnSpPr>
        <xdr:cNvPr id="66" name="Прямая со стрелкой 65">
          <a:extLst>
            <a:ext uri="{FF2B5EF4-FFF2-40B4-BE49-F238E27FC236}">
              <a16:creationId xmlns:a16="http://schemas.microsoft.com/office/drawing/2014/main" id="{EA3AFDBF-EDDE-4427-A3E3-1B6DFF3245F8}"/>
            </a:ext>
          </a:extLst>
        </xdr:cNvPr>
        <xdr:cNvCxnSpPr/>
      </xdr:nvCxnSpPr>
      <xdr:spPr>
        <a:xfrm>
          <a:off x="2044157" y="7225437"/>
          <a:ext cx="316246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2760</xdr:colOff>
      <xdr:row>30</xdr:row>
      <xdr:rowOff>0</xdr:rowOff>
    </xdr:from>
    <xdr:to>
      <xdr:col>31</xdr:col>
      <xdr:colOff>7327</xdr:colOff>
      <xdr:row>30</xdr:row>
      <xdr:rowOff>0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24CE9F72-8A8A-4737-B14D-8EEC866CB050}"/>
            </a:ext>
          </a:extLst>
        </xdr:cNvPr>
        <xdr:cNvCxnSpPr/>
      </xdr:nvCxnSpPr>
      <xdr:spPr>
        <a:xfrm flipH="1">
          <a:off x="5065664" y="9136673"/>
          <a:ext cx="817855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302559</xdr:colOff>
      <xdr:row>29</xdr:row>
      <xdr:rowOff>309282</xdr:rowOff>
    </xdr:from>
    <xdr:to>
      <xdr:col>25</xdr:col>
      <xdr:colOff>605</xdr:colOff>
      <xdr:row>29</xdr:row>
      <xdr:rowOff>309282</xdr:rowOff>
    </xdr:to>
    <xdr:cxnSp macro="">
      <xdr:nvCxnSpPr>
        <xdr:cNvPr id="68" name="Прямая со стрелкой 67">
          <a:extLst>
            <a:ext uri="{FF2B5EF4-FFF2-40B4-BE49-F238E27FC236}">
              <a16:creationId xmlns:a16="http://schemas.microsoft.com/office/drawing/2014/main" id="{3CF150E2-21CF-4EE0-AFAA-8F7717F4D06D}"/>
            </a:ext>
          </a:extLst>
        </xdr:cNvPr>
        <xdr:cNvCxnSpPr/>
      </xdr:nvCxnSpPr>
      <xdr:spPr>
        <a:xfrm flipH="1">
          <a:off x="14545235" y="9520517"/>
          <a:ext cx="684164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870859</xdr:colOff>
      <xdr:row>24</xdr:row>
      <xdr:rowOff>291351</xdr:rowOff>
    </xdr:from>
    <xdr:to>
      <xdr:col>16</xdr:col>
      <xdr:colOff>51233</xdr:colOff>
      <xdr:row>29</xdr:row>
      <xdr:rowOff>11203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BE8214F0-2A8E-468D-B18A-FE3A66D0C841}"/>
            </a:ext>
          </a:extLst>
        </xdr:cNvPr>
        <xdr:cNvSpPr txBox="1"/>
      </xdr:nvSpPr>
      <xdr:spPr>
        <a:xfrm rot="16200000">
          <a:off x="8350388" y="7956572"/>
          <a:ext cx="1284673" cy="5955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>
              <a:latin typeface="Bahnschrift SemiCondensed" panose="020B0502040204020203" pitchFamily="34" charset="0"/>
              <a:cs typeface="Arial" panose="020B0604020202020204" pitchFamily="34" charset="0"/>
            </a:rPr>
            <a:t>Буфер после окраски</a:t>
          </a:r>
        </a:p>
      </xdr:txBody>
    </xdr:sp>
    <xdr:clientData/>
  </xdr:twoCellAnchor>
  <xdr:twoCellAnchor>
    <xdr:from>
      <xdr:col>35</xdr:col>
      <xdr:colOff>313765</xdr:colOff>
      <xdr:row>21</xdr:row>
      <xdr:rowOff>83243</xdr:rowOff>
    </xdr:from>
    <xdr:to>
      <xdr:col>37</xdr:col>
      <xdr:colOff>349743</xdr:colOff>
      <xdr:row>22</xdr:row>
      <xdr:rowOff>5305</xdr:rowOff>
    </xdr:to>
    <xdr:sp macro="" textlink="">
      <xdr:nvSpPr>
        <xdr:cNvPr id="70" name="Стрелка: изогнутая вниз 69">
          <a:extLst>
            <a:ext uri="{FF2B5EF4-FFF2-40B4-BE49-F238E27FC236}">
              <a16:creationId xmlns:a16="http://schemas.microsoft.com/office/drawing/2014/main" id="{365BA54F-7DCB-4718-B262-9A495816489D}"/>
            </a:ext>
          </a:extLst>
        </xdr:cNvPr>
        <xdr:cNvSpPr/>
      </xdr:nvSpPr>
      <xdr:spPr>
        <a:xfrm>
          <a:off x="11580479" y="6777957"/>
          <a:ext cx="675514" cy="235027"/>
        </a:xfrm>
        <a:prstGeom prst="curvedDownArrow">
          <a:avLst>
            <a:gd name="adj1" fmla="val 0"/>
            <a:gd name="adj2" fmla="val 30094"/>
            <a:gd name="adj3" fmla="val 25000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12900</xdr:colOff>
      <xdr:row>12</xdr:row>
      <xdr:rowOff>1</xdr:rowOff>
    </xdr:from>
    <xdr:to>
      <xdr:col>45</xdr:col>
      <xdr:colOff>12900</xdr:colOff>
      <xdr:row>14</xdr:row>
      <xdr:rowOff>4646</xdr:rowOff>
    </xdr:to>
    <xdr:cxnSp macro="">
      <xdr:nvCxnSpPr>
        <xdr:cNvPr id="71" name="Прямая со стрелкой 70">
          <a:extLst>
            <a:ext uri="{FF2B5EF4-FFF2-40B4-BE49-F238E27FC236}">
              <a16:creationId xmlns:a16="http://schemas.microsoft.com/office/drawing/2014/main" id="{8B38C22B-9F46-451F-B16D-AE1672107222}"/>
            </a:ext>
          </a:extLst>
        </xdr:cNvPr>
        <xdr:cNvCxnSpPr/>
      </xdr:nvCxnSpPr>
      <xdr:spPr>
        <a:xfrm flipV="1">
          <a:off x="9918900" y="3714751"/>
          <a:ext cx="0" cy="62377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24808</xdr:colOff>
      <xdr:row>14</xdr:row>
      <xdr:rowOff>2722</xdr:rowOff>
    </xdr:from>
    <xdr:to>
      <xdr:col>47</xdr:col>
      <xdr:colOff>3517</xdr:colOff>
      <xdr:row>14</xdr:row>
      <xdr:rowOff>2722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A787D1E5-41B5-46FA-806D-5A82AFA7D4D0}"/>
            </a:ext>
          </a:extLst>
        </xdr:cNvPr>
        <xdr:cNvCxnSpPr/>
      </xdr:nvCxnSpPr>
      <xdr:spPr>
        <a:xfrm flipH="1">
          <a:off x="9930808" y="4336597"/>
          <a:ext cx="6097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14012</xdr:colOff>
      <xdr:row>29</xdr:row>
      <xdr:rowOff>291352</xdr:rowOff>
    </xdr:from>
    <xdr:to>
      <xdr:col>47</xdr:col>
      <xdr:colOff>0</xdr:colOff>
      <xdr:row>29</xdr:row>
      <xdr:rowOff>291352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5BD4A6C0-9563-48C2-BA5F-DD006740140C}"/>
            </a:ext>
          </a:extLst>
        </xdr:cNvPr>
        <xdr:cNvCxnSpPr/>
      </xdr:nvCxnSpPr>
      <xdr:spPr>
        <a:xfrm flipH="1">
          <a:off x="10625983" y="9076764"/>
          <a:ext cx="792811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287852</xdr:colOff>
      <xdr:row>21</xdr:row>
      <xdr:rowOff>76338</xdr:rowOff>
    </xdr:from>
    <xdr:to>
      <xdr:col>33</xdr:col>
      <xdr:colOff>323830</xdr:colOff>
      <xdr:row>22</xdr:row>
      <xdr:rowOff>1802</xdr:rowOff>
    </xdr:to>
    <xdr:sp macro="" textlink="">
      <xdr:nvSpPr>
        <xdr:cNvPr id="52" name="Стрелка: изогнутая вниз 51">
          <a:extLst>
            <a:ext uri="{FF2B5EF4-FFF2-40B4-BE49-F238E27FC236}">
              <a16:creationId xmlns:a16="http://schemas.microsoft.com/office/drawing/2014/main" id="{C8EE0EEC-027D-4CED-87F5-252A4E35E18D}"/>
            </a:ext>
          </a:extLst>
        </xdr:cNvPr>
        <xdr:cNvSpPr/>
      </xdr:nvSpPr>
      <xdr:spPr>
        <a:xfrm>
          <a:off x="6205258" y="6267588"/>
          <a:ext cx="738447" cy="235027"/>
        </a:xfrm>
        <a:prstGeom prst="curvedDownArrow">
          <a:avLst>
            <a:gd name="adj1" fmla="val 0"/>
            <a:gd name="adj2" fmla="val 30094"/>
            <a:gd name="adj3" fmla="val 25000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285750</xdr:colOff>
      <xdr:row>26</xdr:row>
      <xdr:rowOff>0</xdr:rowOff>
    </xdr:from>
    <xdr:to>
      <xdr:col>35</xdr:col>
      <xdr:colOff>321728</xdr:colOff>
      <xdr:row>26</xdr:row>
      <xdr:rowOff>235027</xdr:rowOff>
    </xdr:to>
    <xdr:sp macro="" textlink="">
      <xdr:nvSpPr>
        <xdr:cNvPr id="53" name="Стрелка: изогнутая вниз 52">
          <a:extLst>
            <a:ext uri="{FF2B5EF4-FFF2-40B4-BE49-F238E27FC236}">
              <a16:creationId xmlns:a16="http://schemas.microsoft.com/office/drawing/2014/main" id="{73E02CFE-AC7E-44AE-9CC6-71CC599F049D}"/>
            </a:ext>
          </a:extLst>
        </xdr:cNvPr>
        <xdr:cNvSpPr/>
      </xdr:nvSpPr>
      <xdr:spPr>
        <a:xfrm flipV="1">
          <a:off x="6905625" y="7739063"/>
          <a:ext cx="738447" cy="235027"/>
        </a:xfrm>
        <a:prstGeom prst="curvedDownArrow">
          <a:avLst>
            <a:gd name="adj1" fmla="val 0"/>
            <a:gd name="adj2" fmla="val 30094"/>
            <a:gd name="adj3" fmla="val 25000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307180</xdr:colOff>
      <xdr:row>26</xdr:row>
      <xdr:rowOff>9525</xdr:rowOff>
    </xdr:from>
    <xdr:to>
      <xdr:col>39</xdr:col>
      <xdr:colOff>343159</xdr:colOff>
      <xdr:row>26</xdr:row>
      <xdr:rowOff>244552</xdr:rowOff>
    </xdr:to>
    <xdr:sp macro="" textlink="">
      <xdr:nvSpPr>
        <xdr:cNvPr id="76" name="Стрелка: изогнутая вниз 75">
          <a:extLst>
            <a:ext uri="{FF2B5EF4-FFF2-40B4-BE49-F238E27FC236}">
              <a16:creationId xmlns:a16="http://schemas.microsoft.com/office/drawing/2014/main" id="{6F92066E-2207-410A-8A5B-4D3D39D41266}"/>
            </a:ext>
          </a:extLst>
        </xdr:cNvPr>
        <xdr:cNvSpPr/>
      </xdr:nvSpPr>
      <xdr:spPr>
        <a:xfrm flipV="1">
          <a:off x="19438823" y="8269061"/>
          <a:ext cx="675515" cy="235027"/>
        </a:xfrm>
        <a:prstGeom prst="curvedDownArrow">
          <a:avLst>
            <a:gd name="adj1" fmla="val 0"/>
            <a:gd name="adj2" fmla="val 30094"/>
            <a:gd name="adj3" fmla="val 25000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324970</xdr:colOff>
      <xdr:row>27</xdr:row>
      <xdr:rowOff>22414</xdr:rowOff>
    </xdr:from>
    <xdr:to>
      <xdr:col>49</xdr:col>
      <xdr:colOff>313765</xdr:colOff>
      <xdr:row>29</xdr:row>
      <xdr:rowOff>44827</xdr:rowOff>
    </xdr:to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8407E9B1-FF20-4D1A-A1AC-7F066C9257FC}"/>
            </a:ext>
          </a:extLst>
        </xdr:cNvPr>
        <xdr:cNvSpPr txBox="1"/>
      </xdr:nvSpPr>
      <xdr:spPr>
        <a:xfrm>
          <a:off x="21918705" y="8606120"/>
          <a:ext cx="1243854" cy="6499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 b="0">
              <a:latin typeface="Bahnschrift SemiCondensed" panose="020B0502040204020203" pitchFamily="34" charset="0"/>
              <a:cs typeface="Arial" panose="020B0604020202020204" pitchFamily="34" charset="0"/>
            </a:rPr>
            <a:t>Ожидание маскировки</a:t>
          </a:r>
        </a:p>
      </xdr:txBody>
    </xdr:sp>
    <xdr:clientData/>
  </xdr:twoCellAnchor>
  <xdr:twoCellAnchor>
    <xdr:from>
      <xdr:col>16</xdr:col>
      <xdr:colOff>336177</xdr:colOff>
      <xdr:row>16</xdr:row>
      <xdr:rowOff>212911</xdr:rowOff>
    </xdr:from>
    <xdr:to>
      <xdr:col>22</xdr:col>
      <xdr:colOff>324972</xdr:colOff>
      <xdr:row>18</xdr:row>
      <xdr:rowOff>123262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EADEBB26-81DD-449E-896A-53FDED3D10DC}"/>
            </a:ext>
          </a:extLst>
        </xdr:cNvPr>
        <xdr:cNvSpPr txBox="1"/>
      </xdr:nvSpPr>
      <xdr:spPr>
        <a:xfrm>
          <a:off x="6465795" y="5345205"/>
          <a:ext cx="1243853" cy="5378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 b="0">
              <a:latin typeface="Bahnschrift SemiCondensed" panose="020B0502040204020203" pitchFamily="34" charset="0"/>
              <a:cs typeface="Arial" panose="020B0604020202020204" pitchFamily="34" charset="0"/>
            </a:rPr>
            <a:t>Окраска</a:t>
          </a:r>
          <a:r>
            <a:rPr lang="ru-RU" sz="1400" b="0" baseline="0">
              <a:latin typeface="Bahnschrift SemiCondensed" panose="020B0502040204020203" pitchFamily="34" charset="0"/>
              <a:cs typeface="Arial" panose="020B0604020202020204" pitchFamily="34" charset="0"/>
            </a:rPr>
            <a:t> рамы</a:t>
          </a:r>
          <a:endParaRPr lang="ru-RU" sz="1400" b="0">
            <a:latin typeface="Bahnschrift SemiCondensed" panose="020B0502040204020203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17</xdr:col>
      <xdr:colOff>224116</xdr:colOff>
      <xdr:row>27</xdr:row>
      <xdr:rowOff>100853</xdr:rowOff>
    </xdr:from>
    <xdr:to>
      <xdr:col>22</xdr:col>
      <xdr:colOff>156881</xdr:colOff>
      <xdr:row>29</xdr:row>
      <xdr:rowOff>78442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FC9B0F6B-93E4-487E-8B79-7C8E35B3F437}"/>
            </a:ext>
          </a:extLst>
        </xdr:cNvPr>
        <xdr:cNvSpPr txBox="1"/>
      </xdr:nvSpPr>
      <xdr:spPr>
        <a:xfrm>
          <a:off x="13839263" y="8684559"/>
          <a:ext cx="963706" cy="6051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 b="0">
              <a:latin typeface="Bahnschrift SemiCondensed" panose="020B0502040204020203" pitchFamily="34" charset="0"/>
              <a:cs typeface="Arial" panose="020B0604020202020204" pitchFamily="34" charset="0"/>
            </a:rPr>
            <a:t>Окраска каркаса</a:t>
          </a:r>
        </a:p>
      </xdr:txBody>
    </xdr:sp>
    <xdr:clientData/>
  </xdr:twoCellAnchor>
  <xdr:twoCellAnchor>
    <xdr:from>
      <xdr:col>22</xdr:col>
      <xdr:colOff>504263</xdr:colOff>
      <xdr:row>27</xdr:row>
      <xdr:rowOff>89647</xdr:rowOff>
    </xdr:from>
    <xdr:to>
      <xdr:col>29</xdr:col>
      <xdr:colOff>89646</xdr:colOff>
      <xdr:row>29</xdr:row>
      <xdr:rowOff>67236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233FA59-6319-4520-AC2B-DEEB89C2E963}"/>
            </a:ext>
          </a:extLst>
        </xdr:cNvPr>
        <xdr:cNvSpPr txBox="1"/>
      </xdr:nvSpPr>
      <xdr:spPr>
        <a:xfrm>
          <a:off x="6510616" y="8673353"/>
          <a:ext cx="1467971" cy="6051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 b="0">
              <a:latin typeface="Bahnschrift SemiCondensed" panose="020B0502040204020203" pitchFamily="34" charset="0"/>
              <a:cs typeface="Arial" panose="020B0604020202020204" pitchFamily="34" charset="0"/>
            </a:rPr>
            <a:t>Ожидание окраски каркаса</a:t>
          </a:r>
        </a:p>
      </xdr:txBody>
    </xdr:sp>
    <xdr:clientData/>
  </xdr:twoCellAnchor>
  <xdr:twoCellAnchor>
    <xdr:from>
      <xdr:col>41</xdr:col>
      <xdr:colOff>190500</xdr:colOff>
      <xdr:row>27</xdr:row>
      <xdr:rowOff>36819</xdr:rowOff>
    </xdr:from>
    <xdr:to>
      <xdr:col>45</xdr:col>
      <xdr:colOff>415418</xdr:colOff>
      <xdr:row>29</xdr:row>
      <xdr:rowOff>14408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C467C586-3DA1-47AA-836D-2EEFF5131458}"/>
            </a:ext>
          </a:extLst>
        </xdr:cNvPr>
        <xdr:cNvSpPr txBox="1"/>
      </xdr:nvSpPr>
      <xdr:spPr>
        <a:xfrm>
          <a:off x="20529176" y="8620525"/>
          <a:ext cx="1479977" cy="6051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 b="0">
              <a:latin typeface="Bahnschrift SemiCondensed" panose="020B0502040204020203" pitchFamily="34" charset="0"/>
              <a:cs typeface="Arial" panose="020B0604020202020204" pitchFamily="34" charset="0"/>
            </a:rPr>
            <a:t>Маскировка каркаса</a:t>
          </a:r>
        </a:p>
      </xdr:txBody>
    </xdr:sp>
    <xdr:clientData/>
  </xdr:twoCellAnchor>
  <xdr:twoCellAnchor>
    <xdr:from>
      <xdr:col>29</xdr:col>
      <xdr:colOff>33618</xdr:colOff>
      <xdr:row>18</xdr:row>
      <xdr:rowOff>0</xdr:rowOff>
    </xdr:from>
    <xdr:to>
      <xdr:col>29</xdr:col>
      <xdr:colOff>33618</xdr:colOff>
      <xdr:row>19</xdr:row>
      <xdr:rowOff>224118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EA3A1C2D-8A41-45FE-9E3F-678890C26F40}"/>
            </a:ext>
          </a:extLst>
        </xdr:cNvPr>
        <xdr:cNvCxnSpPr/>
      </xdr:nvCxnSpPr>
      <xdr:spPr>
        <a:xfrm>
          <a:off x="9300883" y="5759824"/>
          <a:ext cx="0" cy="53788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19</xdr:row>
      <xdr:rowOff>224118</xdr:rowOff>
    </xdr:from>
    <xdr:to>
      <xdr:col>29</xdr:col>
      <xdr:colOff>32116</xdr:colOff>
      <xdr:row>19</xdr:row>
      <xdr:rowOff>224118</xdr:rowOff>
    </xdr:to>
    <xdr:cxnSp macro="">
      <xdr:nvCxnSpPr>
        <xdr:cNvPr id="82" name="Прямая со стрелкой 81">
          <a:extLst>
            <a:ext uri="{FF2B5EF4-FFF2-40B4-BE49-F238E27FC236}">
              <a16:creationId xmlns:a16="http://schemas.microsoft.com/office/drawing/2014/main" id="{2892DD0D-7BC9-4426-97A2-DFC7D874EC1F}"/>
            </a:ext>
          </a:extLst>
        </xdr:cNvPr>
        <xdr:cNvCxnSpPr/>
      </xdr:nvCxnSpPr>
      <xdr:spPr>
        <a:xfrm flipH="1">
          <a:off x="15228794" y="6297706"/>
          <a:ext cx="1331998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313767</xdr:colOff>
      <xdr:row>14</xdr:row>
      <xdr:rowOff>78441</xdr:rowOff>
    </xdr:from>
    <xdr:to>
      <xdr:col>16</xdr:col>
      <xdr:colOff>313767</xdr:colOff>
      <xdr:row>18</xdr:row>
      <xdr:rowOff>0</xdr:rowOff>
    </xdr:to>
    <xdr:cxnSp macro="">
      <xdr:nvCxnSpPr>
        <xdr:cNvPr id="83" name="Прямая соединительная линия 82">
          <a:extLst>
            <a:ext uri="{FF2B5EF4-FFF2-40B4-BE49-F238E27FC236}">
              <a16:creationId xmlns:a16="http://schemas.microsoft.com/office/drawing/2014/main" id="{0325F0F2-FB49-4763-9B37-BAB9F54C4B51}"/>
            </a:ext>
          </a:extLst>
        </xdr:cNvPr>
        <xdr:cNvCxnSpPr/>
      </xdr:nvCxnSpPr>
      <xdr:spPr>
        <a:xfrm>
          <a:off x="6443385" y="4583206"/>
          <a:ext cx="0" cy="117661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313765</xdr:colOff>
      <xdr:row>14</xdr:row>
      <xdr:rowOff>78441</xdr:rowOff>
    </xdr:from>
    <xdr:to>
      <xdr:col>21</xdr:col>
      <xdr:colOff>39530</xdr:colOff>
      <xdr:row>14</xdr:row>
      <xdr:rowOff>78441</xdr:rowOff>
    </xdr:to>
    <xdr:cxnSp macro="">
      <xdr:nvCxnSpPr>
        <xdr:cNvPr id="84" name="Прямая со стрелкой 83">
          <a:extLst>
            <a:ext uri="{FF2B5EF4-FFF2-40B4-BE49-F238E27FC236}">
              <a16:creationId xmlns:a16="http://schemas.microsoft.com/office/drawing/2014/main" id="{C226DDA0-CE50-4B5B-90A1-69AABB6224B8}"/>
            </a:ext>
          </a:extLst>
        </xdr:cNvPr>
        <xdr:cNvCxnSpPr/>
      </xdr:nvCxnSpPr>
      <xdr:spPr>
        <a:xfrm>
          <a:off x="6443383" y="4583206"/>
          <a:ext cx="936000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476250</xdr:colOff>
      <xdr:row>35</xdr:row>
      <xdr:rowOff>77391</xdr:rowOff>
    </xdr:from>
    <xdr:to>
      <xdr:col>39</xdr:col>
      <xdr:colOff>122464</xdr:colOff>
      <xdr:row>38</xdr:row>
      <xdr:rowOff>176893</xdr:rowOff>
    </xdr:to>
    <xdr:sp macro="[0]!takeScreen" textlink="">
      <xdr:nvSpPr>
        <xdr:cNvPr id="88" name="Прямоугольник: скругленные углы 87">
          <a:extLst>
            <a:ext uri="{FF2B5EF4-FFF2-40B4-BE49-F238E27FC236}">
              <a16:creationId xmlns:a16="http://schemas.microsoft.com/office/drawing/2014/main" id="{656A6916-4F6A-4C7B-A230-F94215A1E5DF}"/>
            </a:ext>
          </a:extLst>
        </xdr:cNvPr>
        <xdr:cNvSpPr/>
      </xdr:nvSpPr>
      <xdr:spPr>
        <a:xfrm>
          <a:off x="17073563" y="11364516"/>
          <a:ext cx="2801370" cy="1046049"/>
        </a:xfrm>
        <a:prstGeom prst="roundRect">
          <a:avLst>
            <a:gd name="adj" fmla="val 45349"/>
          </a:avLst>
        </a:prstGeom>
        <a:solidFill>
          <a:srgbClr val="92D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0" tIns="0" rIns="0" bIns="0" rtlCol="0" anchor="ctr"/>
        <a:lstStyle/>
        <a:p>
          <a:pPr algn="ctr"/>
          <a:r>
            <a:rPr lang="ru-RU" sz="2000" b="1">
              <a:solidFill>
                <a:sysClr val="windowText" lastClr="000000"/>
              </a:solidFill>
            </a:rPr>
            <a:t>Обновление</a:t>
          </a:r>
        </a:p>
        <a:p>
          <a:pPr algn="ctr"/>
          <a:r>
            <a:rPr lang="ru-RU" sz="2000" b="1">
              <a:solidFill>
                <a:sysClr val="windowText" lastClr="000000"/>
              </a:solidFill>
            </a:rPr>
            <a:t>доски контроля производства</a:t>
          </a:r>
        </a:p>
      </xdr:txBody>
    </xdr:sp>
    <xdr:clientData/>
  </xdr:twoCellAnchor>
  <xdr:twoCellAnchor>
    <xdr:from>
      <xdr:col>47</xdr:col>
      <xdr:colOff>571500</xdr:colOff>
      <xdr:row>14</xdr:row>
      <xdr:rowOff>0</xdr:rowOff>
    </xdr:from>
    <xdr:to>
      <xdr:col>50</xdr:col>
      <xdr:colOff>39822</xdr:colOff>
      <xdr:row>14</xdr:row>
      <xdr:rowOff>0</xdr:rowOff>
    </xdr:to>
    <xdr:cxnSp macro="">
      <xdr:nvCxnSpPr>
        <xdr:cNvPr id="85" name="Прямая со стрелкой 84">
          <a:extLst>
            <a:ext uri="{FF2B5EF4-FFF2-40B4-BE49-F238E27FC236}">
              <a16:creationId xmlns:a16="http://schemas.microsoft.com/office/drawing/2014/main" id="{EFA343DA-3941-4A02-956D-4479083CA4B1}"/>
            </a:ext>
          </a:extLst>
        </xdr:cNvPr>
        <xdr:cNvCxnSpPr/>
      </xdr:nvCxnSpPr>
      <xdr:spPr>
        <a:xfrm flipH="1">
          <a:off x="18592800" y="4200525"/>
          <a:ext cx="677997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381003</xdr:colOff>
      <xdr:row>0</xdr:row>
      <xdr:rowOff>0</xdr:rowOff>
    </xdr:from>
    <xdr:to>
      <xdr:col>77</xdr:col>
      <xdr:colOff>204110</xdr:colOff>
      <xdr:row>2</xdr:row>
      <xdr:rowOff>54429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30B1A005-6C10-45D3-8AFC-7F48532325C6}"/>
            </a:ext>
          </a:extLst>
        </xdr:cNvPr>
        <xdr:cNvSpPr txBox="1"/>
      </xdr:nvSpPr>
      <xdr:spPr>
        <a:xfrm>
          <a:off x="25554217" y="0"/>
          <a:ext cx="1047750" cy="8028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 b="0">
              <a:latin typeface="Bahnschrift SemiCondensed" panose="020B0502040204020203" pitchFamily="34" charset="0"/>
              <a:cs typeface="Arial" panose="020B0604020202020204" pitchFamily="34" charset="0"/>
            </a:rPr>
            <a:t>Участок ремонта окраски</a:t>
          </a:r>
        </a:p>
      </xdr:txBody>
    </xdr:sp>
    <xdr:clientData/>
  </xdr:twoCellAnchor>
  <xdr:twoCellAnchor>
    <xdr:from>
      <xdr:col>15</xdr:col>
      <xdr:colOff>448236</xdr:colOff>
      <xdr:row>1</xdr:row>
      <xdr:rowOff>-1</xdr:rowOff>
    </xdr:from>
    <xdr:to>
      <xdr:col>31</xdr:col>
      <xdr:colOff>1</xdr:colOff>
      <xdr:row>7</xdr:row>
      <xdr:rowOff>44823</xdr:rowOff>
    </xdr:to>
    <xdr:sp macro="" textlink="">
      <xdr:nvSpPr>
        <xdr:cNvPr id="86" name="Прямоугольник 85">
          <a:extLst>
            <a:ext uri="{FF2B5EF4-FFF2-40B4-BE49-F238E27FC236}">
              <a16:creationId xmlns:a16="http://schemas.microsoft.com/office/drawing/2014/main" id="{2C5D01D8-1088-42AA-B32F-D6CC33B9551E}"/>
            </a:ext>
          </a:extLst>
        </xdr:cNvPr>
        <xdr:cNvSpPr/>
      </xdr:nvSpPr>
      <xdr:spPr>
        <a:xfrm>
          <a:off x="9155207" y="425823"/>
          <a:ext cx="3798794" cy="1613647"/>
        </a:xfrm>
        <a:prstGeom prst="rect">
          <a:avLst/>
        </a:prstGeom>
        <a:noFill/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874059</xdr:colOff>
      <xdr:row>31</xdr:row>
      <xdr:rowOff>190502</xdr:rowOff>
    </xdr:from>
    <xdr:to>
      <xdr:col>17</xdr:col>
      <xdr:colOff>123265</xdr:colOff>
      <xdr:row>32</xdr:row>
      <xdr:rowOff>179295</xdr:rowOff>
    </xdr:to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C45E3264-4BB7-42A1-8ACA-2180198EBF00}"/>
            </a:ext>
          </a:extLst>
        </xdr:cNvPr>
        <xdr:cNvSpPr txBox="1"/>
      </xdr:nvSpPr>
      <xdr:spPr>
        <a:xfrm>
          <a:off x="12774706" y="10029267"/>
          <a:ext cx="963706" cy="3697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 b="0">
              <a:latin typeface="Bahnschrift SemiCondensed" panose="020B0502040204020203" pitchFamily="34" charset="0"/>
              <a:cs typeface="Arial" panose="020B0604020202020204" pitchFamily="34" charset="0"/>
            </a:rPr>
            <a:t>Легенда:</a:t>
          </a:r>
        </a:p>
      </xdr:txBody>
    </xdr:sp>
    <xdr:clientData/>
  </xdr:twoCellAnchor>
  <xdr:twoCellAnchor>
    <xdr:from>
      <xdr:col>17</xdr:col>
      <xdr:colOff>123262</xdr:colOff>
      <xdr:row>31</xdr:row>
      <xdr:rowOff>302559</xdr:rowOff>
    </xdr:from>
    <xdr:to>
      <xdr:col>19</xdr:col>
      <xdr:colOff>145674</xdr:colOff>
      <xdr:row>32</xdr:row>
      <xdr:rowOff>100853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910BAFA8-959C-489A-9DBB-FF9858C967D9}"/>
            </a:ext>
          </a:extLst>
        </xdr:cNvPr>
        <xdr:cNvSpPr/>
      </xdr:nvSpPr>
      <xdr:spPr>
        <a:xfrm>
          <a:off x="13738409" y="10141324"/>
          <a:ext cx="381000" cy="17929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123264</xdr:colOff>
      <xdr:row>32</xdr:row>
      <xdr:rowOff>156881</xdr:rowOff>
    </xdr:from>
    <xdr:to>
      <xdr:col>19</xdr:col>
      <xdr:colOff>145676</xdr:colOff>
      <xdr:row>32</xdr:row>
      <xdr:rowOff>336175</xdr:rowOff>
    </xdr:to>
    <xdr:sp macro="" textlink="">
      <xdr:nvSpPr>
        <xdr:cNvPr id="87" name="Прямоугольник 86">
          <a:extLst>
            <a:ext uri="{FF2B5EF4-FFF2-40B4-BE49-F238E27FC236}">
              <a16:creationId xmlns:a16="http://schemas.microsoft.com/office/drawing/2014/main" id="{64BD8D5C-9C3A-486D-8BD4-413D72ECED7C}"/>
            </a:ext>
          </a:extLst>
        </xdr:cNvPr>
        <xdr:cNvSpPr/>
      </xdr:nvSpPr>
      <xdr:spPr>
        <a:xfrm>
          <a:off x="13738411" y="10376646"/>
          <a:ext cx="381000" cy="179294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145676</xdr:colOff>
      <xdr:row>31</xdr:row>
      <xdr:rowOff>268941</xdr:rowOff>
    </xdr:from>
    <xdr:to>
      <xdr:col>23</xdr:col>
      <xdr:colOff>203558</xdr:colOff>
      <xdr:row>32</xdr:row>
      <xdr:rowOff>112059</xdr:rowOff>
    </xdr:to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E9E153B1-FC00-4074-94CF-6A38D0625647}"/>
            </a:ext>
          </a:extLst>
        </xdr:cNvPr>
        <xdr:cNvSpPr txBox="1"/>
      </xdr:nvSpPr>
      <xdr:spPr>
        <a:xfrm>
          <a:off x="14119411" y="10107706"/>
          <a:ext cx="1044000" cy="2241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/>
        <a:lstStyle/>
        <a:p>
          <a:pPr algn="ctr"/>
          <a:r>
            <a:rPr lang="ru-RU" sz="1400" b="0">
              <a:latin typeface="Bahnschrift SemiCondensed" panose="020B0502040204020203" pitchFamily="34" charset="0"/>
              <a:cs typeface="Arial" panose="020B0604020202020204" pitchFamily="34" charset="0"/>
            </a:rPr>
            <a:t>- цех сварки</a:t>
          </a:r>
        </a:p>
      </xdr:txBody>
    </xdr:sp>
    <xdr:clientData/>
  </xdr:twoCellAnchor>
  <xdr:twoCellAnchor>
    <xdr:from>
      <xdr:col>19</xdr:col>
      <xdr:colOff>145675</xdr:colOff>
      <xdr:row>32</xdr:row>
      <xdr:rowOff>123262</xdr:rowOff>
    </xdr:from>
    <xdr:to>
      <xdr:col>23</xdr:col>
      <xdr:colOff>275557</xdr:colOff>
      <xdr:row>32</xdr:row>
      <xdr:rowOff>347380</xdr:rowOff>
    </xdr:to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174776E0-9F66-47B0-9866-8E01CEF48E49}"/>
            </a:ext>
          </a:extLst>
        </xdr:cNvPr>
        <xdr:cNvSpPr txBox="1"/>
      </xdr:nvSpPr>
      <xdr:spPr>
        <a:xfrm>
          <a:off x="14119410" y="10343027"/>
          <a:ext cx="1116000" cy="2241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/>
        <a:lstStyle/>
        <a:p>
          <a:pPr algn="ctr"/>
          <a:r>
            <a:rPr lang="ru-RU" sz="1400" b="0">
              <a:latin typeface="Bahnschrift SemiCondensed" panose="020B0502040204020203" pitchFamily="34" charset="0"/>
              <a:cs typeface="Arial" panose="020B0604020202020204" pitchFamily="34" charset="0"/>
            </a:rPr>
            <a:t>- цех окраски</a:t>
          </a:r>
        </a:p>
      </xdr:txBody>
    </xdr:sp>
    <xdr:clientData/>
  </xdr:twoCellAnchor>
  <xdr:twoCellAnchor>
    <xdr:from>
      <xdr:col>25</xdr:col>
      <xdr:colOff>246212</xdr:colOff>
      <xdr:row>31</xdr:row>
      <xdr:rowOff>296415</xdr:rowOff>
    </xdr:from>
    <xdr:to>
      <xdr:col>26</xdr:col>
      <xdr:colOff>44506</xdr:colOff>
      <xdr:row>32</xdr:row>
      <xdr:rowOff>94709</xdr:rowOff>
    </xdr:to>
    <xdr:sp macro="" textlink="">
      <xdr:nvSpPr>
        <xdr:cNvPr id="104" name="Прямоугольник 103">
          <a:extLst>
            <a:ext uri="{FF2B5EF4-FFF2-40B4-BE49-F238E27FC236}">
              <a16:creationId xmlns:a16="http://schemas.microsoft.com/office/drawing/2014/main" id="{C73AA414-5994-409A-91FB-74D1B71C88AC}"/>
            </a:ext>
          </a:extLst>
        </xdr:cNvPr>
        <xdr:cNvSpPr/>
      </xdr:nvSpPr>
      <xdr:spPr>
        <a:xfrm>
          <a:off x="15564653" y="10135180"/>
          <a:ext cx="381000" cy="17929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246214</xdr:colOff>
      <xdr:row>32</xdr:row>
      <xdr:rowOff>150737</xdr:rowOff>
    </xdr:from>
    <xdr:to>
      <xdr:col>26</xdr:col>
      <xdr:colOff>44508</xdr:colOff>
      <xdr:row>32</xdr:row>
      <xdr:rowOff>330031</xdr:rowOff>
    </xdr:to>
    <xdr:sp macro="" textlink="">
      <xdr:nvSpPr>
        <xdr:cNvPr id="105" name="Прямоугольник 104">
          <a:extLst>
            <a:ext uri="{FF2B5EF4-FFF2-40B4-BE49-F238E27FC236}">
              <a16:creationId xmlns:a16="http://schemas.microsoft.com/office/drawing/2014/main" id="{A444FA87-A14C-4D2D-8687-C3586DCFED00}"/>
            </a:ext>
          </a:extLst>
        </xdr:cNvPr>
        <xdr:cNvSpPr/>
      </xdr:nvSpPr>
      <xdr:spPr>
        <a:xfrm>
          <a:off x="15564655" y="10370502"/>
          <a:ext cx="381000" cy="179294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45306</xdr:colOff>
      <xdr:row>31</xdr:row>
      <xdr:rowOff>283029</xdr:rowOff>
    </xdr:from>
    <xdr:to>
      <xdr:col>29</xdr:col>
      <xdr:colOff>437765</xdr:colOff>
      <xdr:row>32</xdr:row>
      <xdr:rowOff>126147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4581251B-2C7A-407E-A48E-08C8C6C94481}"/>
            </a:ext>
          </a:extLst>
        </xdr:cNvPr>
        <xdr:cNvSpPr txBox="1"/>
      </xdr:nvSpPr>
      <xdr:spPr>
        <a:xfrm>
          <a:off x="15991277" y="10121794"/>
          <a:ext cx="1019988" cy="2241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/>
        <a:lstStyle/>
        <a:p>
          <a:pPr algn="l"/>
          <a:r>
            <a:rPr lang="ru-RU" sz="1400" b="0">
              <a:latin typeface="Bahnschrift SemiCondensed" panose="020B0502040204020203" pitchFamily="34" charset="0"/>
              <a:cs typeface="Arial" panose="020B0604020202020204" pitchFamily="34" charset="0"/>
            </a:rPr>
            <a:t>- Цех сборки</a:t>
          </a:r>
        </a:p>
      </xdr:txBody>
    </xdr:sp>
    <xdr:clientData/>
  </xdr:twoCellAnchor>
  <xdr:twoCellAnchor>
    <xdr:from>
      <xdr:col>27</xdr:col>
      <xdr:colOff>40502</xdr:colOff>
      <xdr:row>32</xdr:row>
      <xdr:rowOff>123743</xdr:rowOff>
    </xdr:from>
    <xdr:to>
      <xdr:col>33</xdr:col>
      <xdr:colOff>173895</xdr:colOff>
      <xdr:row>32</xdr:row>
      <xdr:rowOff>347861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BE25DEEB-C0D6-46FC-8696-735154A7B3CB}"/>
            </a:ext>
          </a:extLst>
        </xdr:cNvPr>
        <xdr:cNvSpPr txBox="1"/>
      </xdr:nvSpPr>
      <xdr:spPr>
        <a:xfrm>
          <a:off x="15986473" y="10343508"/>
          <a:ext cx="2015981" cy="2241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/>
        <a:lstStyle/>
        <a:p>
          <a:pPr algn="ctr"/>
          <a:r>
            <a:rPr lang="ru-RU" sz="1400" b="0">
              <a:latin typeface="Bahnschrift SemiCondensed" panose="020B0502040204020203" pitchFamily="34" charset="0"/>
              <a:cs typeface="Arial" panose="020B0604020202020204" pitchFamily="34" charset="0"/>
            </a:rPr>
            <a:t>- Отдел контроля качества</a:t>
          </a:r>
        </a:p>
      </xdr:txBody>
    </xdr:sp>
    <xdr:clientData/>
  </xdr:twoCellAnchor>
  <xdr:twoCellAnchor>
    <xdr:from>
      <xdr:col>33</xdr:col>
      <xdr:colOff>330576</xdr:colOff>
      <xdr:row>31</xdr:row>
      <xdr:rowOff>301058</xdr:rowOff>
    </xdr:from>
    <xdr:to>
      <xdr:col>35</xdr:col>
      <xdr:colOff>84047</xdr:colOff>
      <xdr:row>32</xdr:row>
      <xdr:rowOff>99352</xdr:rowOff>
    </xdr:to>
    <xdr:sp macro="" textlink="">
      <xdr:nvSpPr>
        <xdr:cNvPr id="108" name="Прямоугольник 107">
          <a:extLst>
            <a:ext uri="{FF2B5EF4-FFF2-40B4-BE49-F238E27FC236}">
              <a16:creationId xmlns:a16="http://schemas.microsoft.com/office/drawing/2014/main" id="{9E1E1D6F-90EC-4788-BF92-27C8F3140F4B}"/>
            </a:ext>
          </a:extLst>
        </xdr:cNvPr>
        <xdr:cNvSpPr/>
      </xdr:nvSpPr>
      <xdr:spPr>
        <a:xfrm>
          <a:off x="18159135" y="10139823"/>
          <a:ext cx="381000" cy="179294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35</xdr:col>
      <xdr:colOff>124018</xdr:colOff>
      <xdr:row>31</xdr:row>
      <xdr:rowOff>283199</xdr:rowOff>
    </xdr:from>
    <xdr:to>
      <xdr:col>39</xdr:col>
      <xdr:colOff>402012</xdr:colOff>
      <xdr:row>32</xdr:row>
      <xdr:rowOff>126317</xdr:rowOff>
    </xdr:to>
    <xdr:sp macro="" textlink="">
      <xdr:nvSpPr>
        <xdr:cNvPr id="109" name="TextBox 108">
          <a:extLst>
            <a:ext uri="{FF2B5EF4-FFF2-40B4-BE49-F238E27FC236}">
              <a16:creationId xmlns:a16="http://schemas.microsoft.com/office/drawing/2014/main" id="{8BFA9119-23F3-4C8E-A05A-7CD1BCEF3C2F}"/>
            </a:ext>
          </a:extLst>
        </xdr:cNvPr>
        <xdr:cNvSpPr txBox="1"/>
      </xdr:nvSpPr>
      <xdr:spPr>
        <a:xfrm>
          <a:off x="18580106" y="10121964"/>
          <a:ext cx="1533053" cy="2241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/>
        <a:lstStyle/>
        <a:p>
          <a:pPr algn="l"/>
          <a:r>
            <a:rPr lang="ru-RU" sz="1400" b="0">
              <a:latin typeface="Bahnschrift SemiCondensed" panose="020B0502040204020203" pitchFamily="34" charset="0"/>
              <a:cs typeface="Arial" panose="020B0604020202020204" pitchFamily="34" charset="0"/>
            </a:rPr>
            <a:t>- Буфер / ремзона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40825</xdr:colOff>
      <xdr:row>20</xdr:row>
      <xdr:rowOff>1</xdr:rowOff>
    </xdr:from>
    <xdr:to>
      <xdr:col>8</xdr:col>
      <xdr:colOff>884465</xdr:colOff>
      <xdr:row>21</xdr:row>
      <xdr:rowOff>299357</xdr:rowOff>
    </xdr:to>
    <xdr:sp macro="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CCB833E3-CBCC-4F47-A20B-D7CE69E79313}"/>
            </a:ext>
          </a:extLst>
        </xdr:cNvPr>
        <xdr:cNvSpPr/>
      </xdr:nvSpPr>
      <xdr:spPr>
        <a:xfrm>
          <a:off x="7851325" y="5715001"/>
          <a:ext cx="843640" cy="613681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Выкл</a:t>
          </a:r>
        </a:p>
      </xdr:txBody>
    </xdr:sp>
    <xdr:clientData/>
  </xdr:twoCellAnchor>
  <xdr:twoCellAnchor>
    <xdr:from>
      <xdr:col>8</xdr:col>
      <xdr:colOff>54432</xdr:colOff>
      <xdr:row>25</xdr:row>
      <xdr:rowOff>1</xdr:rowOff>
    </xdr:from>
    <xdr:to>
      <xdr:col>8</xdr:col>
      <xdr:colOff>898072</xdr:colOff>
      <xdr:row>26</xdr:row>
      <xdr:rowOff>299358</xdr:rowOff>
    </xdr:to>
    <xdr:sp macro="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57307419-2AA6-41AE-A9CE-811F517C1783}"/>
            </a:ext>
          </a:extLst>
        </xdr:cNvPr>
        <xdr:cNvSpPr/>
      </xdr:nvSpPr>
      <xdr:spPr>
        <a:xfrm>
          <a:off x="7864932" y="7286626"/>
          <a:ext cx="843640" cy="613682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Выкл.</a:t>
          </a:r>
        </a:p>
      </xdr:txBody>
    </xdr:sp>
    <xdr:clientData/>
  </xdr:twoCellAnchor>
  <xdr:twoCellAnchor>
    <xdr:from>
      <xdr:col>8</xdr:col>
      <xdr:colOff>54432</xdr:colOff>
      <xdr:row>25</xdr:row>
      <xdr:rowOff>0</xdr:rowOff>
    </xdr:from>
    <xdr:to>
      <xdr:col>8</xdr:col>
      <xdr:colOff>884464</xdr:colOff>
      <xdr:row>26</xdr:row>
      <xdr:rowOff>299357</xdr:rowOff>
    </xdr:to>
    <xdr:sp macro="" textlink="">
      <xdr:nvSpPr>
        <xdr:cNvPr id="4" name="Прямоугольник: скругленные углы 3">
          <a:extLst>
            <a:ext uri="{FF2B5EF4-FFF2-40B4-BE49-F238E27FC236}">
              <a16:creationId xmlns:a16="http://schemas.microsoft.com/office/drawing/2014/main" id="{485E319F-CC54-45FD-812D-742C991F987A}"/>
            </a:ext>
          </a:extLst>
        </xdr:cNvPr>
        <xdr:cNvSpPr/>
      </xdr:nvSpPr>
      <xdr:spPr>
        <a:xfrm>
          <a:off x="7864932" y="7286625"/>
          <a:ext cx="830032" cy="613682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Вкл.</a:t>
          </a:r>
        </a:p>
      </xdr:txBody>
    </xdr:sp>
    <xdr:clientData/>
  </xdr:twoCellAnchor>
  <xdr:twoCellAnchor>
    <xdr:from>
      <xdr:col>8</xdr:col>
      <xdr:colOff>40825</xdr:colOff>
      <xdr:row>20</xdr:row>
      <xdr:rowOff>0</xdr:rowOff>
    </xdr:from>
    <xdr:to>
      <xdr:col>8</xdr:col>
      <xdr:colOff>870857</xdr:colOff>
      <xdr:row>21</xdr:row>
      <xdr:rowOff>299356</xdr:rowOff>
    </xdr:to>
    <xdr:sp macro="" textlink="">
      <xdr:nvSpPr>
        <xdr:cNvPr id="5" name="Прямоугольник: скругленные углы 4">
          <a:extLst>
            <a:ext uri="{FF2B5EF4-FFF2-40B4-BE49-F238E27FC236}">
              <a16:creationId xmlns:a16="http://schemas.microsoft.com/office/drawing/2014/main" id="{16F76804-D843-4132-9DA6-6CD79AEAE937}"/>
            </a:ext>
          </a:extLst>
        </xdr:cNvPr>
        <xdr:cNvSpPr/>
      </xdr:nvSpPr>
      <xdr:spPr>
        <a:xfrm>
          <a:off x="7851325" y="5715000"/>
          <a:ext cx="830032" cy="613681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Вкл.</a:t>
          </a:r>
        </a:p>
      </xdr:txBody>
    </xdr:sp>
    <xdr:clientData/>
  </xdr:twoCellAnchor>
  <xdr:twoCellAnchor>
    <xdr:from>
      <xdr:col>8</xdr:col>
      <xdr:colOff>54432</xdr:colOff>
      <xdr:row>35</xdr:row>
      <xdr:rowOff>1</xdr:rowOff>
    </xdr:from>
    <xdr:to>
      <xdr:col>8</xdr:col>
      <xdr:colOff>898072</xdr:colOff>
      <xdr:row>36</xdr:row>
      <xdr:rowOff>299358</xdr:rowOff>
    </xdr:to>
    <xdr:sp macro="" textlink="">
      <xdr:nvSpPr>
        <xdr:cNvPr id="6" name="Прямоугольник: скругленные углы 5">
          <a:extLst>
            <a:ext uri="{FF2B5EF4-FFF2-40B4-BE49-F238E27FC236}">
              <a16:creationId xmlns:a16="http://schemas.microsoft.com/office/drawing/2014/main" id="{6EF966E8-D976-4110-BD05-6FF7DE183ADD}"/>
            </a:ext>
          </a:extLst>
        </xdr:cNvPr>
        <xdr:cNvSpPr/>
      </xdr:nvSpPr>
      <xdr:spPr>
        <a:xfrm>
          <a:off x="7864932" y="10429876"/>
          <a:ext cx="843640" cy="613682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Выкл</a:t>
          </a:r>
        </a:p>
      </xdr:txBody>
    </xdr:sp>
    <xdr:clientData/>
  </xdr:twoCellAnchor>
  <xdr:twoCellAnchor>
    <xdr:from>
      <xdr:col>8</xdr:col>
      <xdr:colOff>54432</xdr:colOff>
      <xdr:row>30</xdr:row>
      <xdr:rowOff>1</xdr:rowOff>
    </xdr:from>
    <xdr:to>
      <xdr:col>8</xdr:col>
      <xdr:colOff>898072</xdr:colOff>
      <xdr:row>31</xdr:row>
      <xdr:rowOff>299357</xdr:rowOff>
    </xdr:to>
    <xdr:sp macro="" textlink="">
      <xdr:nvSpPr>
        <xdr:cNvPr id="7" name="Прямоугольник: скругленные углы 6">
          <a:extLst>
            <a:ext uri="{FF2B5EF4-FFF2-40B4-BE49-F238E27FC236}">
              <a16:creationId xmlns:a16="http://schemas.microsoft.com/office/drawing/2014/main" id="{62B7FC92-82F9-44AD-B84E-3912260A5A0D}"/>
            </a:ext>
          </a:extLst>
        </xdr:cNvPr>
        <xdr:cNvSpPr/>
      </xdr:nvSpPr>
      <xdr:spPr>
        <a:xfrm>
          <a:off x="7864932" y="8858251"/>
          <a:ext cx="843640" cy="613681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Выкл</a:t>
          </a:r>
        </a:p>
      </xdr:txBody>
    </xdr:sp>
    <xdr:clientData/>
  </xdr:twoCellAnchor>
  <xdr:twoCellAnchor>
    <xdr:from>
      <xdr:col>8</xdr:col>
      <xdr:colOff>54432</xdr:colOff>
      <xdr:row>15</xdr:row>
      <xdr:rowOff>13608</xdr:rowOff>
    </xdr:from>
    <xdr:to>
      <xdr:col>8</xdr:col>
      <xdr:colOff>884464</xdr:colOff>
      <xdr:row>17</xdr:row>
      <xdr:rowOff>0</xdr:rowOff>
    </xdr:to>
    <xdr:sp macro="" textlink="">
      <xdr:nvSpPr>
        <xdr:cNvPr id="8" name="Прямоугольник: скругленные углы 7">
          <a:extLst>
            <a:ext uri="{FF2B5EF4-FFF2-40B4-BE49-F238E27FC236}">
              <a16:creationId xmlns:a16="http://schemas.microsoft.com/office/drawing/2014/main" id="{E242E074-539D-44E1-AB5C-CB3FFCC044AF}"/>
            </a:ext>
          </a:extLst>
        </xdr:cNvPr>
        <xdr:cNvSpPr/>
      </xdr:nvSpPr>
      <xdr:spPr>
        <a:xfrm>
          <a:off x="7864932" y="4156983"/>
          <a:ext cx="830032" cy="615042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Выкл</a:t>
          </a:r>
        </a:p>
      </xdr:txBody>
    </xdr:sp>
    <xdr:clientData/>
  </xdr:twoCellAnchor>
  <xdr:twoCellAnchor>
    <xdr:from>
      <xdr:col>8</xdr:col>
      <xdr:colOff>54431</xdr:colOff>
      <xdr:row>10</xdr:row>
      <xdr:rowOff>21772</xdr:rowOff>
    </xdr:from>
    <xdr:to>
      <xdr:col>8</xdr:col>
      <xdr:colOff>884464</xdr:colOff>
      <xdr:row>12</xdr:row>
      <xdr:rowOff>8165</xdr:rowOff>
    </xdr:to>
    <xdr:sp macro="" textlink="">
      <xdr:nvSpPr>
        <xdr:cNvPr id="9" name="Прямоугольник: скругленные углы 8">
          <a:extLst>
            <a:ext uri="{FF2B5EF4-FFF2-40B4-BE49-F238E27FC236}">
              <a16:creationId xmlns:a16="http://schemas.microsoft.com/office/drawing/2014/main" id="{E4C2942A-2A3C-4907-A18B-2BCEF6FC47E3}"/>
            </a:ext>
          </a:extLst>
        </xdr:cNvPr>
        <xdr:cNvSpPr/>
      </xdr:nvSpPr>
      <xdr:spPr>
        <a:xfrm>
          <a:off x="7864931" y="2593522"/>
          <a:ext cx="830033" cy="615043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ru-RU" sz="18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Выкл</a:t>
          </a:r>
          <a:endParaRPr lang="ru-RU" sz="17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54432</xdr:colOff>
      <xdr:row>35</xdr:row>
      <xdr:rowOff>0</xdr:rowOff>
    </xdr:from>
    <xdr:to>
      <xdr:col>8</xdr:col>
      <xdr:colOff>884464</xdr:colOff>
      <xdr:row>36</xdr:row>
      <xdr:rowOff>299357</xdr:rowOff>
    </xdr:to>
    <xdr:sp macro="" textlink="">
      <xdr:nvSpPr>
        <xdr:cNvPr id="10" name="Прямоугольник: скругленные углы 9">
          <a:extLst>
            <a:ext uri="{FF2B5EF4-FFF2-40B4-BE49-F238E27FC236}">
              <a16:creationId xmlns:a16="http://schemas.microsoft.com/office/drawing/2014/main" id="{3CF24524-32F9-433D-BB1E-A90D17F8F03D}"/>
            </a:ext>
          </a:extLst>
        </xdr:cNvPr>
        <xdr:cNvSpPr/>
      </xdr:nvSpPr>
      <xdr:spPr>
        <a:xfrm>
          <a:off x="7864932" y="10429875"/>
          <a:ext cx="830032" cy="613682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Вкл.</a:t>
          </a:r>
        </a:p>
      </xdr:txBody>
    </xdr:sp>
    <xdr:clientData/>
  </xdr:twoCellAnchor>
  <xdr:twoCellAnchor>
    <xdr:from>
      <xdr:col>8</xdr:col>
      <xdr:colOff>54432</xdr:colOff>
      <xdr:row>10</xdr:row>
      <xdr:rowOff>21771</xdr:rowOff>
    </xdr:from>
    <xdr:to>
      <xdr:col>8</xdr:col>
      <xdr:colOff>898072</xdr:colOff>
      <xdr:row>12</xdr:row>
      <xdr:rowOff>8164</xdr:rowOff>
    </xdr:to>
    <xdr:sp macro="" textlink="">
      <xdr:nvSpPr>
        <xdr:cNvPr id="11" name="Прямоугольник: скругленные углы 10">
          <a:extLst>
            <a:ext uri="{FF2B5EF4-FFF2-40B4-BE49-F238E27FC236}">
              <a16:creationId xmlns:a16="http://schemas.microsoft.com/office/drawing/2014/main" id="{19F9125E-294D-40D5-8B41-C93CBE0E9A8B}"/>
            </a:ext>
          </a:extLst>
        </xdr:cNvPr>
        <xdr:cNvSpPr/>
      </xdr:nvSpPr>
      <xdr:spPr>
        <a:xfrm>
          <a:off x="7864932" y="2593521"/>
          <a:ext cx="843640" cy="615043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Вкл.</a:t>
          </a:r>
        </a:p>
      </xdr:txBody>
    </xdr:sp>
    <xdr:clientData/>
  </xdr:twoCellAnchor>
  <xdr:twoCellAnchor>
    <xdr:from>
      <xdr:col>8</xdr:col>
      <xdr:colOff>54432</xdr:colOff>
      <xdr:row>30</xdr:row>
      <xdr:rowOff>0</xdr:rowOff>
    </xdr:from>
    <xdr:to>
      <xdr:col>8</xdr:col>
      <xdr:colOff>898072</xdr:colOff>
      <xdr:row>31</xdr:row>
      <xdr:rowOff>299356</xdr:rowOff>
    </xdr:to>
    <xdr:sp macro="" textlink="">
      <xdr:nvSpPr>
        <xdr:cNvPr id="12" name="Прямоугольник: скругленные углы 11">
          <a:extLst>
            <a:ext uri="{FF2B5EF4-FFF2-40B4-BE49-F238E27FC236}">
              <a16:creationId xmlns:a16="http://schemas.microsoft.com/office/drawing/2014/main" id="{B5C2B88F-14EE-4D0C-9553-2DD9EA07684D}"/>
            </a:ext>
          </a:extLst>
        </xdr:cNvPr>
        <xdr:cNvSpPr/>
      </xdr:nvSpPr>
      <xdr:spPr>
        <a:xfrm>
          <a:off x="7864932" y="8858250"/>
          <a:ext cx="843640" cy="613681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Вкл.</a:t>
          </a:r>
        </a:p>
      </xdr:txBody>
    </xdr:sp>
    <xdr:clientData/>
  </xdr:twoCellAnchor>
  <xdr:twoCellAnchor>
    <xdr:from>
      <xdr:col>8</xdr:col>
      <xdr:colOff>54432</xdr:colOff>
      <xdr:row>15</xdr:row>
      <xdr:rowOff>13609</xdr:rowOff>
    </xdr:from>
    <xdr:to>
      <xdr:col>8</xdr:col>
      <xdr:colOff>884464</xdr:colOff>
      <xdr:row>17</xdr:row>
      <xdr:rowOff>1</xdr:rowOff>
    </xdr:to>
    <xdr:sp macro="" textlink="">
      <xdr:nvSpPr>
        <xdr:cNvPr id="13" name="Прямоугольник: скругленные углы 12">
          <a:extLst>
            <a:ext uri="{FF2B5EF4-FFF2-40B4-BE49-F238E27FC236}">
              <a16:creationId xmlns:a16="http://schemas.microsoft.com/office/drawing/2014/main" id="{5D65FDE4-D008-4500-BC84-A379EDF2C9C2}"/>
            </a:ext>
          </a:extLst>
        </xdr:cNvPr>
        <xdr:cNvSpPr/>
      </xdr:nvSpPr>
      <xdr:spPr>
        <a:xfrm>
          <a:off x="7864932" y="4156984"/>
          <a:ext cx="830032" cy="615042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Вкл.</a:t>
          </a:r>
        </a:p>
      </xdr:txBody>
    </xdr:sp>
    <xdr:clientData/>
  </xdr:twoCellAnchor>
  <xdr:twoCellAnchor>
    <xdr:from>
      <xdr:col>8</xdr:col>
      <xdr:colOff>48988</xdr:colOff>
      <xdr:row>5</xdr:row>
      <xdr:rowOff>13608</xdr:rowOff>
    </xdr:from>
    <xdr:to>
      <xdr:col>8</xdr:col>
      <xdr:colOff>884464</xdr:colOff>
      <xdr:row>7</xdr:row>
      <xdr:rowOff>0</xdr:rowOff>
    </xdr:to>
    <xdr:sp macro="" textlink="">
      <xdr:nvSpPr>
        <xdr:cNvPr id="14" name="Прямоугольник: скругленные углы 13">
          <a:extLst>
            <a:ext uri="{FF2B5EF4-FFF2-40B4-BE49-F238E27FC236}">
              <a16:creationId xmlns:a16="http://schemas.microsoft.com/office/drawing/2014/main" id="{36990575-5C68-4F1F-862A-5041564E4DA3}"/>
            </a:ext>
          </a:extLst>
        </xdr:cNvPr>
        <xdr:cNvSpPr/>
      </xdr:nvSpPr>
      <xdr:spPr>
        <a:xfrm>
          <a:off x="7859488" y="1013733"/>
          <a:ext cx="835476" cy="615042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Выкл</a:t>
          </a:r>
          <a:endParaRPr lang="ru-RU" sz="2400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8</xdr:col>
      <xdr:colOff>54430</xdr:colOff>
      <xdr:row>5</xdr:row>
      <xdr:rowOff>13607</xdr:rowOff>
    </xdr:from>
    <xdr:to>
      <xdr:col>8</xdr:col>
      <xdr:colOff>884464</xdr:colOff>
      <xdr:row>7</xdr:row>
      <xdr:rowOff>-1</xdr:rowOff>
    </xdr:to>
    <xdr:sp macro="" textlink="">
      <xdr:nvSpPr>
        <xdr:cNvPr id="15" name="Прямоугольник: скругленные углы 14">
          <a:extLst>
            <a:ext uri="{FF2B5EF4-FFF2-40B4-BE49-F238E27FC236}">
              <a16:creationId xmlns:a16="http://schemas.microsoft.com/office/drawing/2014/main" id="{338E5DFA-9E96-4C59-94FD-9A486B74EB48}"/>
            </a:ext>
          </a:extLst>
        </xdr:cNvPr>
        <xdr:cNvSpPr/>
      </xdr:nvSpPr>
      <xdr:spPr>
        <a:xfrm>
          <a:off x="7864930" y="1013732"/>
          <a:ext cx="830034" cy="615042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8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Вкл.</a:t>
          </a:r>
          <a:endParaRPr lang="ru-RU" sz="1400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8</xdr:col>
      <xdr:colOff>54432</xdr:colOff>
      <xdr:row>40</xdr:row>
      <xdr:rowOff>1</xdr:rowOff>
    </xdr:from>
    <xdr:to>
      <xdr:col>8</xdr:col>
      <xdr:colOff>884464</xdr:colOff>
      <xdr:row>41</xdr:row>
      <xdr:rowOff>299358</xdr:rowOff>
    </xdr:to>
    <xdr:sp macro="" textlink="">
      <xdr:nvSpPr>
        <xdr:cNvPr id="16" name="Прямоугольник: скругленные углы 15">
          <a:extLst>
            <a:ext uri="{FF2B5EF4-FFF2-40B4-BE49-F238E27FC236}">
              <a16:creationId xmlns:a16="http://schemas.microsoft.com/office/drawing/2014/main" id="{9BC9BEFA-AF7A-43C6-9D9B-ED3BDF7EF01B}"/>
            </a:ext>
          </a:extLst>
        </xdr:cNvPr>
        <xdr:cNvSpPr/>
      </xdr:nvSpPr>
      <xdr:spPr>
        <a:xfrm>
          <a:off x="7864932" y="12001501"/>
          <a:ext cx="830032" cy="613682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Выкл</a:t>
          </a:r>
        </a:p>
      </xdr:txBody>
    </xdr:sp>
    <xdr:clientData/>
  </xdr:twoCellAnchor>
  <xdr:twoCellAnchor>
    <xdr:from>
      <xdr:col>8</xdr:col>
      <xdr:colOff>54432</xdr:colOff>
      <xdr:row>40</xdr:row>
      <xdr:rowOff>0</xdr:rowOff>
    </xdr:from>
    <xdr:to>
      <xdr:col>8</xdr:col>
      <xdr:colOff>884464</xdr:colOff>
      <xdr:row>41</xdr:row>
      <xdr:rowOff>299357</xdr:rowOff>
    </xdr:to>
    <xdr:sp macro="" textlink="">
      <xdr:nvSpPr>
        <xdr:cNvPr id="17" name="Прямоугольник: скругленные углы 16">
          <a:extLst>
            <a:ext uri="{FF2B5EF4-FFF2-40B4-BE49-F238E27FC236}">
              <a16:creationId xmlns:a16="http://schemas.microsoft.com/office/drawing/2014/main" id="{6DA785A5-0BC4-49A6-BE17-0CB830CFCC69}"/>
            </a:ext>
          </a:extLst>
        </xdr:cNvPr>
        <xdr:cNvSpPr/>
      </xdr:nvSpPr>
      <xdr:spPr>
        <a:xfrm>
          <a:off x="7864932" y="12001500"/>
          <a:ext cx="830032" cy="613682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Вкл.</a:t>
          </a:r>
        </a:p>
      </xdr:txBody>
    </xdr:sp>
    <xdr:clientData/>
  </xdr:twoCellAnchor>
  <xdr:twoCellAnchor>
    <xdr:from>
      <xdr:col>24</xdr:col>
      <xdr:colOff>333376</xdr:colOff>
      <xdr:row>35</xdr:row>
      <xdr:rowOff>111577</xdr:rowOff>
    </xdr:from>
    <xdr:to>
      <xdr:col>30</xdr:col>
      <xdr:colOff>95251</xdr:colOff>
      <xdr:row>38</xdr:row>
      <xdr:rowOff>122463</xdr:rowOff>
    </xdr:to>
    <xdr:sp macro="" textlink="">
      <xdr:nvSpPr>
        <xdr:cNvPr id="18" name="Прямоугольник 17">
          <a:extLst>
            <a:ext uri="{FF2B5EF4-FFF2-40B4-BE49-F238E27FC236}">
              <a16:creationId xmlns:a16="http://schemas.microsoft.com/office/drawing/2014/main" id="{E084009E-D497-41CC-A2AF-E95871E09D57}"/>
            </a:ext>
          </a:extLst>
        </xdr:cNvPr>
        <xdr:cNvSpPr/>
      </xdr:nvSpPr>
      <xdr:spPr>
        <a:xfrm>
          <a:off x="13430251" y="10541452"/>
          <a:ext cx="1724025" cy="953861"/>
        </a:xfrm>
        <a:prstGeom prst="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Сделать скриншот</a:t>
          </a:r>
        </a:p>
      </xdr:txBody>
    </xdr:sp>
    <xdr:clientData/>
  </xdr:twoCellAnchor>
  <xdr:twoCellAnchor>
    <xdr:from>
      <xdr:col>53</xdr:col>
      <xdr:colOff>281749</xdr:colOff>
      <xdr:row>5</xdr:row>
      <xdr:rowOff>263337</xdr:rowOff>
    </xdr:from>
    <xdr:to>
      <xdr:col>53</xdr:col>
      <xdr:colOff>281749</xdr:colOff>
      <xdr:row>15</xdr:row>
      <xdr:rowOff>5690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8C77682B-22F5-4C04-BE5F-972677E8629D}"/>
            </a:ext>
          </a:extLst>
        </xdr:cNvPr>
        <xdr:cNvCxnSpPr/>
      </xdr:nvCxnSpPr>
      <xdr:spPr>
        <a:xfrm>
          <a:off x="22484524" y="1263462"/>
          <a:ext cx="0" cy="2885603"/>
        </a:xfrm>
        <a:prstGeom prst="straightConnector1">
          <a:avLst/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0</xdr:colOff>
      <xdr:row>5</xdr:row>
      <xdr:rowOff>258536</xdr:rowOff>
    </xdr:from>
    <xdr:to>
      <xdr:col>53</xdr:col>
      <xdr:colOff>281747</xdr:colOff>
      <xdr:row>5</xdr:row>
      <xdr:rowOff>258536</xdr:rowOff>
    </xdr:to>
    <xdr:cxnSp macro="">
      <xdr:nvCxnSpPr>
        <xdr:cNvPr id="22" name="Прямая соединительная линия 21">
          <a:extLst>
            <a:ext uri="{FF2B5EF4-FFF2-40B4-BE49-F238E27FC236}">
              <a16:creationId xmlns:a16="http://schemas.microsoft.com/office/drawing/2014/main" id="{590A1AF9-D96F-41CC-8CAC-39AB2E0BCCEA}"/>
            </a:ext>
          </a:extLst>
        </xdr:cNvPr>
        <xdr:cNvCxnSpPr/>
      </xdr:nvCxnSpPr>
      <xdr:spPr>
        <a:xfrm flipH="1">
          <a:off x="21440775" y="1258661"/>
          <a:ext cx="1043747" cy="0"/>
        </a:xfrm>
        <a:prstGeom prst="line">
          <a:avLst/>
        </a:prstGeom>
        <a:ln w="381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8</xdr:row>
      <xdr:rowOff>307217</xdr:rowOff>
    </xdr:from>
    <xdr:to>
      <xdr:col>27</xdr:col>
      <xdr:colOff>46259</xdr:colOff>
      <xdr:row>8</xdr:row>
      <xdr:rowOff>307217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784DC8E8-7F3B-47DF-B151-F2F8796CF284}"/>
            </a:ext>
          </a:extLst>
        </xdr:cNvPr>
        <xdr:cNvCxnSpPr/>
      </xdr:nvCxnSpPr>
      <xdr:spPr>
        <a:xfrm>
          <a:off x="13858875" y="2250317"/>
          <a:ext cx="427259" cy="0"/>
        </a:xfrm>
        <a:prstGeom prst="straightConnector1">
          <a:avLst/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381000</xdr:colOff>
      <xdr:row>9</xdr:row>
      <xdr:rowOff>2721</xdr:rowOff>
    </xdr:from>
    <xdr:to>
      <xdr:col>33</xdr:col>
      <xdr:colOff>154855</xdr:colOff>
      <xdr:row>9</xdr:row>
      <xdr:rowOff>2721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ACEAA74-A5FF-431F-AC2F-F2B0F1D5C373}"/>
            </a:ext>
          </a:extLst>
        </xdr:cNvPr>
        <xdr:cNvCxnSpPr/>
      </xdr:nvCxnSpPr>
      <xdr:spPr>
        <a:xfrm flipH="1">
          <a:off x="15059025" y="2260146"/>
          <a:ext cx="974005" cy="0"/>
        </a:xfrm>
        <a:prstGeom prst="line">
          <a:avLst/>
        </a:prstGeom>
        <a:ln w="381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153715</xdr:colOff>
      <xdr:row>9</xdr:row>
      <xdr:rowOff>3580</xdr:rowOff>
    </xdr:from>
    <xdr:to>
      <xdr:col>33</xdr:col>
      <xdr:colOff>153715</xdr:colOff>
      <xdr:row>10</xdr:row>
      <xdr:rowOff>299751</xdr:rowOff>
    </xdr:to>
    <xdr:cxnSp macro="">
      <xdr:nvCxnSpPr>
        <xdr:cNvPr id="27" name="Прямая со стрелкой 26">
          <a:extLst>
            <a:ext uri="{FF2B5EF4-FFF2-40B4-BE49-F238E27FC236}">
              <a16:creationId xmlns:a16="http://schemas.microsoft.com/office/drawing/2014/main" id="{E0326AB7-74A4-4E36-A09E-7E5E304E5692}"/>
            </a:ext>
          </a:extLst>
        </xdr:cNvPr>
        <xdr:cNvCxnSpPr/>
      </xdr:nvCxnSpPr>
      <xdr:spPr>
        <a:xfrm>
          <a:off x="16031890" y="2261005"/>
          <a:ext cx="0" cy="610496"/>
        </a:xfrm>
        <a:prstGeom prst="straightConnector1">
          <a:avLst/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2037</xdr:colOff>
      <xdr:row>19</xdr:row>
      <xdr:rowOff>38837</xdr:rowOff>
    </xdr:from>
    <xdr:to>
      <xdr:col>62</xdr:col>
      <xdr:colOff>58066</xdr:colOff>
      <xdr:row>22</xdr:row>
      <xdr:rowOff>213930</xdr:rowOff>
    </xdr:to>
    <xdr:sp macro="" textlink="">
      <xdr:nvSpPr>
        <xdr:cNvPr id="28" name="Стрелка: изогнутая вниз 27">
          <a:extLst>
            <a:ext uri="{FF2B5EF4-FFF2-40B4-BE49-F238E27FC236}">
              <a16:creationId xmlns:a16="http://schemas.microsoft.com/office/drawing/2014/main" id="{8D926671-0FD2-44B6-97E3-51029878DF65}"/>
            </a:ext>
          </a:extLst>
        </xdr:cNvPr>
        <xdr:cNvSpPr/>
      </xdr:nvSpPr>
      <xdr:spPr>
        <a:xfrm flipV="1">
          <a:off x="22844719" y="5390155"/>
          <a:ext cx="2445938" cy="1110275"/>
        </a:xfrm>
        <a:prstGeom prst="curvedDownArrow">
          <a:avLst>
            <a:gd name="adj1" fmla="val 0"/>
            <a:gd name="adj2" fmla="val 9164"/>
            <a:gd name="adj3" fmla="val 11669"/>
          </a:avLst>
        </a:prstGeom>
        <a:solidFill>
          <a:schemeClr val="tx1"/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134448</xdr:colOff>
      <xdr:row>9</xdr:row>
      <xdr:rowOff>150695</xdr:rowOff>
    </xdr:from>
    <xdr:to>
      <xdr:col>61</xdr:col>
      <xdr:colOff>324387</xdr:colOff>
      <xdr:row>11</xdr:row>
      <xdr:rowOff>51955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9F5BD337-3D8B-4F76-BE54-E5BE9F71F758}"/>
            </a:ext>
          </a:extLst>
        </xdr:cNvPr>
        <xdr:cNvSpPr txBox="1"/>
      </xdr:nvSpPr>
      <xdr:spPr>
        <a:xfrm>
          <a:off x="22977130" y="2384740"/>
          <a:ext cx="2198848" cy="5247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ru-RU" sz="1400" b="0">
            <a:latin typeface="Bahnschrift SemiCondensed" panose="020B0502040204020203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51</xdr:col>
      <xdr:colOff>310202</xdr:colOff>
      <xdr:row>12</xdr:row>
      <xdr:rowOff>294409</xdr:rowOff>
    </xdr:from>
    <xdr:to>
      <xdr:col>53</xdr:col>
      <xdr:colOff>93213</xdr:colOff>
      <xdr:row>22</xdr:row>
      <xdr:rowOff>77931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4916B0BD-B6D7-4BD5-9C92-5967F62E7515}"/>
            </a:ext>
          </a:extLst>
        </xdr:cNvPr>
        <xdr:cNvSpPr txBox="1"/>
      </xdr:nvSpPr>
      <xdr:spPr>
        <a:xfrm rot="16200000">
          <a:off x="20658810" y="4641528"/>
          <a:ext cx="2900795" cy="5450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2000" b="1">
              <a:latin typeface="Arial" panose="020B0604020202020204" pitchFamily="34" charset="0"/>
              <a:cs typeface="Arial" panose="020B0604020202020204" pitchFamily="34" charset="0"/>
            </a:rPr>
            <a:t>Тормозной стенд</a:t>
          </a:r>
        </a:p>
      </xdr:txBody>
    </xdr:sp>
    <xdr:clientData/>
  </xdr:twoCellAnchor>
  <xdr:twoCellAnchor>
    <xdr:from>
      <xdr:col>37</xdr:col>
      <xdr:colOff>199566</xdr:colOff>
      <xdr:row>7</xdr:row>
      <xdr:rowOff>1</xdr:rowOff>
    </xdr:from>
    <xdr:to>
      <xdr:col>37</xdr:col>
      <xdr:colOff>199566</xdr:colOff>
      <xdr:row>9</xdr:row>
      <xdr:rowOff>4646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472B273F-1928-41E9-AB5D-D2127F1D4CB3}"/>
            </a:ext>
          </a:extLst>
        </xdr:cNvPr>
        <xdr:cNvCxnSpPr/>
      </xdr:nvCxnSpPr>
      <xdr:spPr>
        <a:xfrm flipV="1">
          <a:off x="17277891" y="1628776"/>
          <a:ext cx="0" cy="633295"/>
        </a:xfrm>
        <a:prstGeom prst="straightConnector1">
          <a:avLst/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200268</xdr:colOff>
      <xdr:row>9</xdr:row>
      <xdr:rowOff>2722</xdr:rowOff>
    </xdr:from>
    <xdr:to>
      <xdr:col>39</xdr:col>
      <xdr:colOff>51312</xdr:colOff>
      <xdr:row>9</xdr:row>
      <xdr:rowOff>2722</xdr:rowOff>
    </xdr:to>
    <xdr:cxnSp macro="">
      <xdr:nvCxnSpPr>
        <xdr:cNvPr id="36" name="Прямая соединительная линия 35">
          <a:extLst>
            <a:ext uri="{FF2B5EF4-FFF2-40B4-BE49-F238E27FC236}">
              <a16:creationId xmlns:a16="http://schemas.microsoft.com/office/drawing/2014/main" id="{C4924A8D-C2F8-4B53-8107-9499AF1DC3A7}"/>
            </a:ext>
          </a:extLst>
        </xdr:cNvPr>
        <xdr:cNvCxnSpPr/>
      </xdr:nvCxnSpPr>
      <xdr:spPr>
        <a:xfrm flipH="1">
          <a:off x="17278593" y="2260147"/>
          <a:ext cx="613044" cy="0"/>
        </a:xfrm>
        <a:prstGeom prst="line">
          <a:avLst/>
        </a:prstGeom>
        <a:ln w="381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78923</xdr:colOff>
      <xdr:row>35</xdr:row>
      <xdr:rowOff>13607</xdr:rowOff>
    </xdr:from>
    <xdr:to>
      <xdr:col>30</xdr:col>
      <xdr:colOff>367393</xdr:colOff>
      <xdr:row>38</xdr:row>
      <xdr:rowOff>244928</xdr:rowOff>
    </xdr:to>
    <xdr:sp macro="[0]!takeScreen" textlink="">
      <xdr:nvSpPr>
        <xdr:cNvPr id="38" name="Прямоугольник: скругленные углы 37">
          <a:extLst>
            <a:ext uri="{FF2B5EF4-FFF2-40B4-BE49-F238E27FC236}">
              <a16:creationId xmlns:a16="http://schemas.microsoft.com/office/drawing/2014/main" id="{C7626FD7-65C7-46E4-9A8D-19074CAF3AE9}"/>
            </a:ext>
          </a:extLst>
        </xdr:cNvPr>
        <xdr:cNvSpPr/>
      </xdr:nvSpPr>
      <xdr:spPr>
        <a:xfrm>
          <a:off x="13175798" y="10443482"/>
          <a:ext cx="2250620" cy="1174296"/>
        </a:xfrm>
        <a:prstGeom prst="roundRect">
          <a:avLst>
            <a:gd name="adj" fmla="val 45349"/>
          </a:avLst>
        </a:prstGeom>
        <a:solidFill>
          <a:srgbClr val="92D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000" b="1">
              <a:solidFill>
                <a:sysClr val="windowText" lastClr="000000"/>
              </a:solidFill>
            </a:rPr>
            <a:t>Сделать снимок экрана</a:t>
          </a:r>
        </a:p>
      </xdr:txBody>
    </xdr:sp>
    <xdr:clientData/>
  </xdr:twoCellAnchor>
  <xdr:twoCellAnchor>
    <xdr:from>
      <xdr:col>73</xdr:col>
      <xdr:colOff>308971</xdr:colOff>
      <xdr:row>0</xdr:row>
      <xdr:rowOff>0</xdr:rowOff>
    </xdr:from>
    <xdr:to>
      <xdr:col>78</xdr:col>
      <xdr:colOff>500640</xdr:colOff>
      <xdr:row>7</xdr:row>
      <xdr:rowOff>31937</xdr:rowOff>
    </xdr:to>
    <xdr:grpSp>
      <xdr:nvGrpSpPr>
        <xdr:cNvPr id="40" name="Группа 39">
          <a:extLst>
            <a:ext uri="{FF2B5EF4-FFF2-40B4-BE49-F238E27FC236}">
              <a16:creationId xmlns:a16="http://schemas.microsoft.com/office/drawing/2014/main" id="{D9E8F4DC-67DE-4F57-8930-D66772D88276}"/>
            </a:ext>
          </a:extLst>
        </xdr:cNvPr>
        <xdr:cNvGrpSpPr/>
      </xdr:nvGrpSpPr>
      <xdr:grpSpPr>
        <a:xfrm>
          <a:off x="31966607" y="0"/>
          <a:ext cx="3222351" cy="1781073"/>
          <a:chOff x="12877958" y="4068003"/>
          <a:chExt cx="4881408" cy="2180876"/>
        </a:xfrm>
      </xdr:grpSpPr>
      <xdr:pic>
        <xdr:nvPicPr>
          <xdr:cNvPr id="41" name="Рисунок 40">
            <a:extLst>
              <a:ext uri="{FF2B5EF4-FFF2-40B4-BE49-F238E27FC236}">
                <a16:creationId xmlns:a16="http://schemas.microsoft.com/office/drawing/2014/main" id="{B4C2A9D6-F2BE-3287-A726-2DD18CACB56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1186" t="14670" r="65615" b="7624"/>
          <a:stretch/>
        </xdr:blipFill>
        <xdr:spPr>
          <a:xfrm>
            <a:off x="12877958" y="4180592"/>
            <a:ext cx="4816929" cy="2068287"/>
          </a:xfrm>
          <a:prstGeom prst="rect">
            <a:avLst/>
          </a:prstGeom>
          <a:ln w="95250">
            <a:solidFill>
              <a:sysClr val="windowText" lastClr="000000"/>
            </a:solidFill>
          </a:ln>
        </xdr:spPr>
      </xdr:pic>
      <xdr:sp macro="" textlink="">
        <xdr:nvSpPr>
          <xdr:cNvPr id="42" name="Прямоугольник 41">
            <a:extLst>
              <a:ext uri="{FF2B5EF4-FFF2-40B4-BE49-F238E27FC236}">
                <a16:creationId xmlns:a16="http://schemas.microsoft.com/office/drawing/2014/main" id="{F382B1F6-906F-6C08-9BFE-DBFA78044FD3}"/>
              </a:ext>
            </a:extLst>
          </xdr:cNvPr>
          <xdr:cNvSpPr/>
        </xdr:nvSpPr>
        <xdr:spPr>
          <a:xfrm>
            <a:off x="12883170" y="4184646"/>
            <a:ext cx="321362" cy="2054907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3" name="Прямоугольник 42">
            <a:extLst>
              <a:ext uri="{FF2B5EF4-FFF2-40B4-BE49-F238E27FC236}">
                <a16:creationId xmlns:a16="http://schemas.microsoft.com/office/drawing/2014/main" id="{0AAEC924-86E1-DDDE-A9F8-C286B2BD42D8}"/>
              </a:ext>
            </a:extLst>
          </xdr:cNvPr>
          <xdr:cNvSpPr/>
        </xdr:nvSpPr>
        <xdr:spPr>
          <a:xfrm>
            <a:off x="13141860" y="5214444"/>
            <a:ext cx="1643704" cy="1015525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4" name="Прямоугольник 43">
            <a:extLst>
              <a:ext uri="{FF2B5EF4-FFF2-40B4-BE49-F238E27FC236}">
                <a16:creationId xmlns:a16="http://schemas.microsoft.com/office/drawing/2014/main" id="{AC98C849-C771-BDA9-B1BE-BC982475DA51}"/>
              </a:ext>
            </a:extLst>
          </xdr:cNvPr>
          <xdr:cNvSpPr/>
        </xdr:nvSpPr>
        <xdr:spPr>
          <a:xfrm>
            <a:off x="14850414" y="5434853"/>
            <a:ext cx="1563875" cy="804183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5" name="Прямоугольник 44">
            <a:extLst>
              <a:ext uri="{FF2B5EF4-FFF2-40B4-BE49-F238E27FC236}">
                <a16:creationId xmlns:a16="http://schemas.microsoft.com/office/drawing/2014/main" id="{7ABA7969-70A1-9300-FC52-EB0EBBD362ED}"/>
              </a:ext>
            </a:extLst>
          </xdr:cNvPr>
          <xdr:cNvSpPr/>
        </xdr:nvSpPr>
        <xdr:spPr>
          <a:xfrm>
            <a:off x="14858522" y="4186095"/>
            <a:ext cx="367973" cy="1583466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6" name="Прямоугольник 45">
            <a:extLst>
              <a:ext uri="{FF2B5EF4-FFF2-40B4-BE49-F238E27FC236}">
                <a16:creationId xmlns:a16="http://schemas.microsoft.com/office/drawing/2014/main" id="{621B9387-4CFF-35DF-FF8D-FBE8293DE98C}"/>
              </a:ext>
            </a:extLst>
          </xdr:cNvPr>
          <xdr:cNvSpPr/>
        </xdr:nvSpPr>
        <xdr:spPr>
          <a:xfrm>
            <a:off x="17077006" y="4184474"/>
            <a:ext cx="147538" cy="1032936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7" name="Прямоугольник 46">
            <a:extLst>
              <a:ext uri="{FF2B5EF4-FFF2-40B4-BE49-F238E27FC236}">
                <a16:creationId xmlns:a16="http://schemas.microsoft.com/office/drawing/2014/main" id="{49C1585F-A70D-CFE9-7B69-164C4531939C}"/>
              </a:ext>
            </a:extLst>
          </xdr:cNvPr>
          <xdr:cNvSpPr/>
        </xdr:nvSpPr>
        <xdr:spPr>
          <a:xfrm>
            <a:off x="16161914" y="5292850"/>
            <a:ext cx="1525448" cy="944446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cxnSp macro="">
        <xdr:nvCxnSpPr>
          <xdr:cNvPr id="48" name="Прямая соединительная линия 47">
            <a:extLst>
              <a:ext uri="{FF2B5EF4-FFF2-40B4-BE49-F238E27FC236}">
                <a16:creationId xmlns:a16="http://schemas.microsoft.com/office/drawing/2014/main" id="{4D2A1269-2C9E-2941-F9CA-38BD44398AE7}"/>
              </a:ext>
            </a:extLst>
          </xdr:cNvPr>
          <xdr:cNvCxnSpPr/>
        </xdr:nvCxnSpPr>
        <xdr:spPr>
          <a:xfrm flipH="1">
            <a:off x="14809884" y="4098030"/>
            <a:ext cx="7487" cy="2149112"/>
          </a:xfrm>
          <a:prstGeom prst="line">
            <a:avLst/>
          </a:prstGeom>
          <a:ln w="952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Прямая соединительная линия 48">
            <a:extLst>
              <a:ext uri="{FF2B5EF4-FFF2-40B4-BE49-F238E27FC236}">
                <a16:creationId xmlns:a16="http://schemas.microsoft.com/office/drawing/2014/main" id="{0EF885CC-E290-BA71-D189-4B5F47A3BA6C}"/>
              </a:ext>
            </a:extLst>
          </xdr:cNvPr>
          <xdr:cNvCxnSpPr/>
        </xdr:nvCxnSpPr>
        <xdr:spPr>
          <a:xfrm flipH="1">
            <a:off x="14824474" y="5019605"/>
            <a:ext cx="199515" cy="228609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Прямая соединительная линия 49">
            <a:extLst>
              <a:ext uri="{FF2B5EF4-FFF2-40B4-BE49-F238E27FC236}">
                <a16:creationId xmlns:a16="http://schemas.microsoft.com/office/drawing/2014/main" id="{8A9F353E-F471-7C87-2928-515472D7ADAC}"/>
              </a:ext>
            </a:extLst>
          </xdr:cNvPr>
          <xdr:cNvCxnSpPr/>
        </xdr:nvCxnSpPr>
        <xdr:spPr>
          <a:xfrm>
            <a:off x="15571827" y="4176367"/>
            <a:ext cx="0" cy="1045096"/>
          </a:xfrm>
          <a:prstGeom prst="line">
            <a:avLst/>
          </a:prstGeom>
          <a:ln w="952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Прямая соединительная линия 50">
            <a:extLst>
              <a:ext uri="{FF2B5EF4-FFF2-40B4-BE49-F238E27FC236}">
                <a16:creationId xmlns:a16="http://schemas.microsoft.com/office/drawing/2014/main" id="{95A19086-1278-354F-7D74-73F9838BFA61}"/>
              </a:ext>
            </a:extLst>
          </xdr:cNvPr>
          <xdr:cNvCxnSpPr/>
        </xdr:nvCxnSpPr>
        <xdr:spPr>
          <a:xfrm flipH="1">
            <a:off x="15533584" y="5253890"/>
            <a:ext cx="2225782" cy="0"/>
          </a:xfrm>
          <a:prstGeom prst="line">
            <a:avLst/>
          </a:prstGeom>
          <a:ln w="952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Прямая соединительная линия 51">
            <a:extLst>
              <a:ext uri="{FF2B5EF4-FFF2-40B4-BE49-F238E27FC236}">
                <a16:creationId xmlns:a16="http://schemas.microsoft.com/office/drawing/2014/main" id="{479741E7-F5D0-0CE9-FD06-A40857991FEF}"/>
              </a:ext>
            </a:extLst>
          </xdr:cNvPr>
          <xdr:cNvCxnSpPr/>
        </xdr:nvCxnSpPr>
        <xdr:spPr>
          <a:xfrm flipH="1">
            <a:off x="15361060" y="4874452"/>
            <a:ext cx="200229" cy="227026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Прямая соединительная линия 52">
            <a:extLst>
              <a:ext uri="{FF2B5EF4-FFF2-40B4-BE49-F238E27FC236}">
                <a16:creationId xmlns:a16="http://schemas.microsoft.com/office/drawing/2014/main" id="{E63CACE1-0545-E4BE-C5E6-A260FD71F771}"/>
              </a:ext>
            </a:extLst>
          </xdr:cNvPr>
          <xdr:cNvCxnSpPr/>
        </xdr:nvCxnSpPr>
        <xdr:spPr>
          <a:xfrm flipH="1">
            <a:off x="15205417" y="4109894"/>
            <a:ext cx="200229" cy="226225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4" name="Прямоугольник 53">
            <a:extLst>
              <a:ext uri="{FF2B5EF4-FFF2-40B4-BE49-F238E27FC236}">
                <a16:creationId xmlns:a16="http://schemas.microsoft.com/office/drawing/2014/main" id="{779B865B-5D6F-78EB-0AFD-59D1F4447D0E}"/>
              </a:ext>
            </a:extLst>
          </xdr:cNvPr>
          <xdr:cNvSpPr/>
        </xdr:nvSpPr>
        <xdr:spPr>
          <a:xfrm>
            <a:off x="14744079" y="4983125"/>
            <a:ext cx="141862" cy="280539"/>
          </a:xfrm>
          <a:prstGeom prst="rect">
            <a:avLst/>
          </a:prstGeom>
          <a:solidFill>
            <a:schemeClr val="tx1"/>
          </a:solidFill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5" name="Прямоугольник 54">
            <a:extLst>
              <a:ext uri="{FF2B5EF4-FFF2-40B4-BE49-F238E27FC236}">
                <a16:creationId xmlns:a16="http://schemas.microsoft.com/office/drawing/2014/main" id="{5D5DD86E-69F7-440D-B3B0-A16A14CBF6A7}"/>
              </a:ext>
            </a:extLst>
          </xdr:cNvPr>
          <xdr:cNvSpPr/>
        </xdr:nvSpPr>
        <xdr:spPr>
          <a:xfrm>
            <a:off x="15496438" y="4894718"/>
            <a:ext cx="144961" cy="280539"/>
          </a:xfrm>
          <a:prstGeom prst="rect">
            <a:avLst/>
          </a:prstGeom>
          <a:solidFill>
            <a:schemeClr val="tx1"/>
          </a:solidFill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6" name="Прямоугольник 55">
            <a:extLst>
              <a:ext uri="{FF2B5EF4-FFF2-40B4-BE49-F238E27FC236}">
                <a16:creationId xmlns:a16="http://schemas.microsoft.com/office/drawing/2014/main" id="{B3E7455B-572F-C105-3EB5-DC18265FF31D}"/>
              </a:ext>
            </a:extLst>
          </xdr:cNvPr>
          <xdr:cNvSpPr/>
        </xdr:nvSpPr>
        <xdr:spPr>
          <a:xfrm rot="5400000">
            <a:off x="15163726" y="3991870"/>
            <a:ext cx="141061" cy="293328"/>
          </a:xfrm>
          <a:prstGeom prst="rect">
            <a:avLst/>
          </a:prstGeom>
          <a:solidFill>
            <a:schemeClr val="tx1"/>
          </a:solidFill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28</xdr:col>
      <xdr:colOff>378599</xdr:colOff>
      <xdr:row>19</xdr:row>
      <xdr:rowOff>22412</xdr:rowOff>
    </xdr:from>
    <xdr:to>
      <xdr:col>33</xdr:col>
      <xdr:colOff>134470</xdr:colOff>
      <xdr:row>20</xdr:row>
      <xdr:rowOff>304160</xdr:rowOff>
    </xdr:to>
    <xdr:sp macro="" textlink="">
      <xdr:nvSpPr>
        <xdr:cNvPr id="57" name="Стрелка: изогнутая вниз 56">
          <a:extLst>
            <a:ext uri="{FF2B5EF4-FFF2-40B4-BE49-F238E27FC236}">
              <a16:creationId xmlns:a16="http://schemas.microsoft.com/office/drawing/2014/main" id="{BB6961BC-92C4-49B6-B102-1AB1EEB2FB74}"/>
            </a:ext>
          </a:extLst>
        </xdr:cNvPr>
        <xdr:cNvSpPr/>
      </xdr:nvSpPr>
      <xdr:spPr>
        <a:xfrm>
          <a:off x="14675624" y="5423087"/>
          <a:ext cx="1337021" cy="596073"/>
        </a:xfrm>
        <a:prstGeom prst="curvedDownArrow">
          <a:avLst>
            <a:gd name="adj1" fmla="val 0"/>
            <a:gd name="adj2" fmla="val 19586"/>
            <a:gd name="adj3" fmla="val 17187"/>
          </a:avLst>
        </a:prstGeom>
        <a:solidFill>
          <a:schemeClr val="tx1"/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31750</xdr:colOff>
      <xdr:row>29</xdr:row>
      <xdr:rowOff>31058</xdr:rowOff>
    </xdr:from>
    <xdr:to>
      <xdr:col>33</xdr:col>
      <xdr:colOff>380999</xdr:colOff>
      <xdr:row>30</xdr:row>
      <xdr:rowOff>86591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F1FE2D5E-A4E2-40B9-B830-86E62542B807}"/>
            </a:ext>
          </a:extLst>
        </xdr:cNvPr>
        <xdr:cNvSpPr txBox="1"/>
      </xdr:nvSpPr>
      <xdr:spPr>
        <a:xfrm>
          <a:off x="15890875" y="9683058"/>
          <a:ext cx="793749" cy="4365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600" b="1"/>
            <a:t>Выход </a:t>
          </a:r>
        </a:p>
      </xdr:txBody>
    </xdr:sp>
    <xdr:clientData/>
  </xdr:twoCellAnchor>
  <xdr:twoCellAnchor>
    <xdr:from>
      <xdr:col>32</xdr:col>
      <xdr:colOff>13609</xdr:colOff>
      <xdr:row>25</xdr:row>
      <xdr:rowOff>40822</xdr:rowOff>
    </xdr:from>
    <xdr:to>
      <xdr:col>59</xdr:col>
      <xdr:colOff>0</xdr:colOff>
      <xdr:row>32</xdr:row>
      <xdr:rowOff>285750</xdr:rowOff>
    </xdr:to>
    <xdr:cxnSp macro="">
      <xdr:nvCxnSpPr>
        <xdr:cNvPr id="60" name="Соединитель: уступ 59">
          <a:extLst>
            <a:ext uri="{FF2B5EF4-FFF2-40B4-BE49-F238E27FC236}">
              <a16:creationId xmlns:a16="http://schemas.microsoft.com/office/drawing/2014/main" id="{B421171D-3196-43B1-BFB5-93F74112A120}"/>
            </a:ext>
          </a:extLst>
        </xdr:cNvPr>
        <xdr:cNvCxnSpPr/>
      </xdr:nvCxnSpPr>
      <xdr:spPr>
        <a:xfrm rot="10800000" flipV="1">
          <a:off x="16015609" y="8184697"/>
          <a:ext cx="8535079" cy="2911928"/>
        </a:xfrm>
        <a:prstGeom prst="bentConnector3">
          <a:avLst>
            <a:gd name="adj1" fmla="val 19449"/>
          </a:avLst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6113</xdr:colOff>
      <xdr:row>17</xdr:row>
      <xdr:rowOff>161977</xdr:rowOff>
    </xdr:from>
    <xdr:to>
      <xdr:col>51</xdr:col>
      <xdr:colOff>254680</xdr:colOff>
      <xdr:row>28</xdr:row>
      <xdr:rowOff>56029</xdr:rowOff>
    </xdr:to>
    <xdr:cxnSp macro="">
      <xdr:nvCxnSpPr>
        <xdr:cNvPr id="62" name="Соединитель: уступ 61">
          <a:extLst>
            <a:ext uri="{FF2B5EF4-FFF2-40B4-BE49-F238E27FC236}">
              <a16:creationId xmlns:a16="http://schemas.microsoft.com/office/drawing/2014/main" id="{5BDE27A8-340F-4305-AE6F-F14B2E30EA03}"/>
            </a:ext>
          </a:extLst>
        </xdr:cNvPr>
        <xdr:cNvCxnSpPr/>
      </xdr:nvCxnSpPr>
      <xdr:spPr>
        <a:xfrm flipV="1">
          <a:off x="16544977" y="4889841"/>
          <a:ext cx="5409385" cy="3323052"/>
        </a:xfrm>
        <a:prstGeom prst="bentConnector3">
          <a:avLst>
            <a:gd name="adj1" fmla="val 99981"/>
          </a:avLst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50935</xdr:colOff>
      <xdr:row>9</xdr:row>
      <xdr:rowOff>25468</xdr:rowOff>
    </xdr:from>
    <xdr:to>
      <xdr:col>51</xdr:col>
      <xdr:colOff>252646</xdr:colOff>
      <xdr:row>17</xdr:row>
      <xdr:rowOff>180315</xdr:rowOff>
    </xdr:to>
    <xdr:cxnSp macro="">
      <xdr:nvCxnSpPr>
        <xdr:cNvPr id="63" name="Соединитель: уступ 62">
          <a:extLst>
            <a:ext uri="{FF2B5EF4-FFF2-40B4-BE49-F238E27FC236}">
              <a16:creationId xmlns:a16="http://schemas.microsoft.com/office/drawing/2014/main" id="{89BDE727-35AF-494C-BE19-654793BE9078}"/>
            </a:ext>
          </a:extLst>
        </xdr:cNvPr>
        <xdr:cNvCxnSpPr/>
      </xdr:nvCxnSpPr>
      <xdr:spPr>
        <a:xfrm rot="10800000">
          <a:off x="18806526" y="2259513"/>
          <a:ext cx="2972620" cy="2648666"/>
        </a:xfrm>
        <a:prstGeom prst="bentConnector3">
          <a:avLst>
            <a:gd name="adj1" fmla="val 32"/>
          </a:avLst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11208</xdr:colOff>
      <xdr:row>19</xdr:row>
      <xdr:rowOff>3</xdr:rowOff>
    </xdr:from>
    <xdr:to>
      <xdr:col>26</xdr:col>
      <xdr:colOff>235323</xdr:colOff>
      <xdr:row>23</xdr:row>
      <xdr:rowOff>212914</xdr:rowOff>
    </xdr:to>
    <xdr:cxnSp macro="">
      <xdr:nvCxnSpPr>
        <xdr:cNvPr id="64" name="Соединитель: уступ 63">
          <a:extLst>
            <a:ext uri="{FF2B5EF4-FFF2-40B4-BE49-F238E27FC236}">
              <a16:creationId xmlns:a16="http://schemas.microsoft.com/office/drawing/2014/main" id="{F477F782-CB27-4300-AF25-7E289103713B}"/>
            </a:ext>
          </a:extLst>
        </xdr:cNvPr>
        <xdr:cNvCxnSpPr/>
      </xdr:nvCxnSpPr>
      <xdr:spPr>
        <a:xfrm rot="16200000" flipH="1">
          <a:off x="13247035" y="6023726"/>
          <a:ext cx="1470211" cy="224115"/>
        </a:xfrm>
        <a:prstGeom prst="bentConnector3">
          <a:avLst>
            <a:gd name="adj1" fmla="val 382"/>
          </a:avLst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235322</xdr:colOff>
      <xdr:row>23</xdr:row>
      <xdr:rowOff>199307</xdr:rowOff>
    </xdr:from>
    <xdr:to>
      <xdr:col>28</xdr:col>
      <xdr:colOff>3</xdr:colOff>
      <xdr:row>28</xdr:row>
      <xdr:rowOff>20014</xdr:rowOff>
    </xdr:to>
    <xdr:cxnSp macro="">
      <xdr:nvCxnSpPr>
        <xdr:cNvPr id="66" name="Соединитель: уступ 65">
          <a:extLst>
            <a:ext uri="{FF2B5EF4-FFF2-40B4-BE49-F238E27FC236}">
              <a16:creationId xmlns:a16="http://schemas.microsoft.com/office/drawing/2014/main" id="{4FC081F7-17AC-446F-A850-7CE64781EBB7}"/>
            </a:ext>
          </a:extLst>
        </xdr:cNvPr>
        <xdr:cNvCxnSpPr/>
      </xdr:nvCxnSpPr>
      <xdr:spPr>
        <a:xfrm rot="16200000" flipH="1">
          <a:off x="13807649" y="7418695"/>
          <a:ext cx="1385528" cy="200109"/>
        </a:xfrm>
        <a:prstGeom prst="bentConnector3">
          <a:avLst>
            <a:gd name="adj1" fmla="val 100000"/>
          </a:avLst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253574</xdr:colOff>
      <xdr:row>15</xdr:row>
      <xdr:rowOff>242455</xdr:rowOff>
    </xdr:from>
    <xdr:to>
      <xdr:col>33</xdr:col>
      <xdr:colOff>250372</xdr:colOff>
      <xdr:row>19</xdr:row>
      <xdr:rowOff>107578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7A87C890-8053-4E1B-9760-9FBA300EFEAE}"/>
            </a:ext>
          </a:extLst>
        </xdr:cNvPr>
        <xdr:cNvSpPr txBox="1"/>
      </xdr:nvSpPr>
      <xdr:spPr>
        <a:xfrm>
          <a:off x="14541074" y="4346864"/>
          <a:ext cx="1572753" cy="11120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2400" b="1">
              <a:latin typeface="Bahnschrift SemiCondensed" panose="020B0502040204020203" pitchFamily="34" charset="0"/>
            </a:rPr>
            <a:t>Сборка кабин</a:t>
          </a:r>
        </a:p>
      </xdr:txBody>
    </xdr:sp>
    <xdr:clientData/>
  </xdr:twoCellAnchor>
  <xdr:twoCellAnchor>
    <xdr:from>
      <xdr:col>28</xdr:col>
      <xdr:colOff>3115</xdr:colOff>
      <xdr:row>29</xdr:row>
      <xdr:rowOff>31056</xdr:rowOff>
    </xdr:from>
    <xdr:to>
      <xdr:col>29</xdr:col>
      <xdr:colOff>376518</xdr:colOff>
      <xdr:row>30</xdr:row>
      <xdr:rowOff>103908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209E622D-9648-4127-9599-D4D1B69B66C2}"/>
            </a:ext>
          </a:extLst>
        </xdr:cNvPr>
        <xdr:cNvSpPr txBox="1"/>
      </xdr:nvSpPr>
      <xdr:spPr>
        <a:xfrm>
          <a:off x="14290615" y="8499647"/>
          <a:ext cx="754403" cy="3845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600" b="1"/>
            <a:t>Вход </a:t>
          </a:r>
        </a:p>
      </xdr:txBody>
    </xdr:sp>
    <xdr:clientData/>
  </xdr:twoCellAnchor>
  <xdr:twoCellAnchor>
    <xdr:from>
      <xdr:col>15</xdr:col>
      <xdr:colOff>45461</xdr:colOff>
      <xdr:row>24</xdr:row>
      <xdr:rowOff>27983</xdr:rowOff>
    </xdr:from>
    <xdr:to>
      <xdr:col>32</xdr:col>
      <xdr:colOff>28143</xdr:colOff>
      <xdr:row>32</xdr:row>
      <xdr:rowOff>287759</xdr:rowOff>
    </xdr:to>
    <xdr:cxnSp macro="">
      <xdr:nvCxnSpPr>
        <xdr:cNvPr id="73" name="Соединитель: уступ 72">
          <a:extLst>
            <a:ext uri="{FF2B5EF4-FFF2-40B4-BE49-F238E27FC236}">
              <a16:creationId xmlns:a16="http://schemas.microsoft.com/office/drawing/2014/main" id="{754B82E8-8484-420A-84C3-27E83F99A411}"/>
            </a:ext>
          </a:extLst>
        </xdr:cNvPr>
        <xdr:cNvCxnSpPr/>
      </xdr:nvCxnSpPr>
      <xdr:spPr>
        <a:xfrm rot="10800000">
          <a:off x="11023024" y="7790858"/>
          <a:ext cx="5007119" cy="3307776"/>
        </a:xfrm>
        <a:prstGeom prst="bentConnector3">
          <a:avLst>
            <a:gd name="adj1" fmla="val 99944"/>
          </a:avLst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55563</xdr:colOff>
      <xdr:row>16</xdr:row>
      <xdr:rowOff>21773</xdr:rowOff>
    </xdr:from>
    <xdr:to>
      <xdr:col>16</xdr:col>
      <xdr:colOff>371559</xdr:colOff>
      <xdr:row>25</xdr:row>
      <xdr:rowOff>142875</xdr:rowOff>
    </xdr:to>
    <xdr:cxnSp macro="">
      <xdr:nvCxnSpPr>
        <xdr:cNvPr id="74" name="Соединитель: уступ 73">
          <a:extLst>
            <a:ext uri="{FF2B5EF4-FFF2-40B4-BE49-F238E27FC236}">
              <a16:creationId xmlns:a16="http://schemas.microsoft.com/office/drawing/2014/main" id="{7E979AAF-C091-4DF6-99A5-E34E096C7DE2}"/>
            </a:ext>
          </a:extLst>
        </xdr:cNvPr>
        <xdr:cNvCxnSpPr/>
      </xdr:nvCxnSpPr>
      <xdr:spPr>
        <a:xfrm rot="5400000" flipH="1" flipV="1">
          <a:off x="9725635" y="6210826"/>
          <a:ext cx="3423102" cy="696996"/>
        </a:xfrm>
        <a:prstGeom prst="bentConnector3">
          <a:avLst>
            <a:gd name="adj1" fmla="val 100066"/>
          </a:avLst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523878</xdr:colOff>
      <xdr:row>5</xdr:row>
      <xdr:rowOff>48397</xdr:rowOff>
    </xdr:from>
    <xdr:to>
      <xdr:col>24</xdr:col>
      <xdr:colOff>194224</xdr:colOff>
      <xdr:row>13</xdr:row>
      <xdr:rowOff>771</xdr:rowOff>
    </xdr:to>
    <xdr:sp macro="" textlink="">
      <xdr:nvSpPr>
        <xdr:cNvPr id="79" name="Дуга 78">
          <a:extLst>
            <a:ext uri="{FF2B5EF4-FFF2-40B4-BE49-F238E27FC236}">
              <a16:creationId xmlns:a16="http://schemas.microsoft.com/office/drawing/2014/main" id="{AC29E93B-71B8-4ED3-AE79-79D0CCE76725}"/>
            </a:ext>
          </a:extLst>
        </xdr:cNvPr>
        <xdr:cNvSpPr/>
      </xdr:nvSpPr>
      <xdr:spPr>
        <a:xfrm rot="16200000">
          <a:off x="11027632" y="942119"/>
          <a:ext cx="2740179" cy="2959956"/>
        </a:xfrm>
        <a:prstGeom prst="arc">
          <a:avLst>
            <a:gd name="adj1" fmla="val 10831048"/>
            <a:gd name="adj2" fmla="val 14792879"/>
          </a:avLst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312854</xdr:colOff>
      <xdr:row>7</xdr:row>
      <xdr:rowOff>158749</xdr:rowOff>
    </xdr:from>
    <xdr:to>
      <xdr:col>22</xdr:col>
      <xdr:colOff>40361</xdr:colOff>
      <xdr:row>11</xdr:row>
      <xdr:rowOff>142873</xdr:rowOff>
    </xdr:to>
    <xdr:sp macro="" textlink="">
      <xdr:nvSpPr>
        <xdr:cNvPr id="19" name="Дуга 18">
          <a:extLst>
            <a:ext uri="{FF2B5EF4-FFF2-40B4-BE49-F238E27FC236}">
              <a16:creationId xmlns:a16="http://schemas.microsoft.com/office/drawing/2014/main" id="{D9B66DD7-CD0F-456F-A30A-2FD4F1E41130}"/>
            </a:ext>
          </a:extLst>
        </xdr:cNvPr>
        <xdr:cNvSpPr/>
      </xdr:nvSpPr>
      <xdr:spPr>
        <a:xfrm rot="16200000">
          <a:off x="11844539" y="1794796"/>
          <a:ext cx="1247929" cy="1507056"/>
        </a:xfrm>
        <a:prstGeom prst="arc">
          <a:avLst>
            <a:gd name="adj1" fmla="val 11275222"/>
            <a:gd name="adj2" fmla="val 15604889"/>
          </a:avLst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549278</xdr:colOff>
      <xdr:row>4</xdr:row>
      <xdr:rowOff>0</xdr:rowOff>
    </xdr:from>
    <xdr:to>
      <xdr:col>24</xdr:col>
      <xdr:colOff>219624</xdr:colOff>
      <xdr:row>12</xdr:row>
      <xdr:rowOff>342899</xdr:rowOff>
    </xdr:to>
    <xdr:sp macro="" textlink="">
      <xdr:nvSpPr>
        <xdr:cNvPr id="23" name="Дуга 22">
          <a:extLst>
            <a:ext uri="{FF2B5EF4-FFF2-40B4-BE49-F238E27FC236}">
              <a16:creationId xmlns:a16="http://schemas.microsoft.com/office/drawing/2014/main" id="{87BA55DC-1A3E-4334-94CE-3D594729115A}"/>
            </a:ext>
          </a:extLst>
        </xdr:cNvPr>
        <xdr:cNvSpPr/>
      </xdr:nvSpPr>
      <xdr:spPr>
        <a:xfrm rot="16200000">
          <a:off x="11048270" y="898484"/>
          <a:ext cx="2749704" cy="2959956"/>
        </a:xfrm>
        <a:prstGeom prst="arc">
          <a:avLst>
            <a:gd name="adj1" fmla="val 17583107"/>
            <a:gd name="adj2" fmla="val 21596447"/>
          </a:avLst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295275</xdr:colOff>
      <xdr:row>6</xdr:row>
      <xdr:rowOff>215899</xdr:rowOff>
    </xdr:from>
    <xdr:to>
      <xdr:col>22</xdr:col>
      <xdr:colOff>22782</xdr:colOff>
      <xdr:row>10</xdr:row>
      <xdr:rowOff>136523</xdr:rowOff>
    </xdr:to>
    <xdr:sp macro="" textlink="">
      <xdr:nvSpPr>
        <xdr:cNvPr id="24" name="Дуга 23">
          <a:extLst>
            <a:ext uri="{FF2B5EF4-FFF2-40B4-BE49-F238E27FC236}">
              <a16:creationId xmlns:a16="http://schemas.microsoft.com/office/drawing/2014/main" id="{54880FF0-CFAB-46C0-B6C5-46CF4C10B75F}"/>
            </a:ext>
          </a:extLst>
        </xdr:cNvPr>
        <xdr:cNvSpPr/>
      </xdr:nvSpPr>
      <xdr:spPr>
        <a:xfrm rot="16200000">
          <a:off x="11826186" y="1471720"/>
          <a:ext cx="1249477" cy="1507056"/>
        </a:xfrm>
        <a:prstGeom prst="arc">
          <a:avLst>
            <a:gd name="adj1" fmla="val 17213019"/>
            <a:gd name="adj2" fmla="val 21225037"/>
          </a:avLst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617964</xdr:colOff>
      <xdr:row>6</xdr:row>
      <xdr:rowOff>380999</xdr:rowOff>
    </xdr:from>
    <xdr:to>
      <xdr:col>17</xdr:col>
      <xdr:colOff>20708</xdr:colOff>
      <xdr:row>10</xdr:row>
      <xdr:rowOff>315746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9F915D4C-4BE3-00D7-E005-77185D9737A8}"/>
            </a:ext>
          </a:extLst>
        </xdr:cNvPr>
        <xdr:cNvSpPr/>
      </xdr:nvSpPr>
      <xdr:spPr>
        <a:xfrm>
          <a:off x="11011830" y="1765609"/>
          <a:ext cx="792000" cy="1263600"/>
        </a:xfrm>
        <a:prstGeom prst="rect">
          <a:avLst/>
        </a:prstGeom>
        <a:solidFill>
          <a:schemeClr val="bg1">
            <a:lumMod val="75000"/>
          </a:schemeClr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67</xdr:col>
      <xdr:colOff>618505</xdr:colOff>
      <xdr:row>1</xdr:row>
      <xdr:rowOff>87826</xdr:rowOff>
    </xdr:from>
    <xdr:to>
      <xdr:col>68</xdr:col>
      <xdr:colOff>94011</xdr:colOff>
      <xdr:row>3</xdr:row>
      <xdr:rowOff>152152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A2400E1F-B46E-F818-3720-0FCC0C8638A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19" t="16311" r="6525" b="19699"/>
        <a:stretch/>
      </xdr:blipFill>
      <xdr:spPr bwMode="auto">
        <a:xfrm>
          <a:off x="28104934" y="142255"/>
          <a:ext cx="659327" cy="6902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66</xdr:col>
      <xdr:colOff>367395</xdr:colOff>
      <xdr:row>1</xdr:row>
      <xdr:rowOff>108857</xdr:rowOff>
    </xdr:from>
    <xdr:to>
      <xdr:col>67</xdr:col>
      <xdr:colOff>462642</xdr:colOff>
      <xdr:row>3</xdr:row>
      <xdr:rowOff>163286</xdr:rowOff>
    </xdr:to>
    <xdr:pic>
      <xdr:nvPicPr>
        <xdr:cNvPr id="34" name="Рисунок 33">
          <a:extLst>
            <a:ext uri="{FF2B5EF4-FFF2-40B4-BE49-F238E27FC236}">
              <a16:creationId xmlns:a16="http://schemas.microsoft.com/office/drawing/2014/main" id="{70960F31-A300-3F6D-3632-0A2140DC2DD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92" t="16331" r="2997" b="20855"/>
        <a:stretch/>
      </xdr:blipFill>
      <xdr:spPr bwMode="auto">
        <a:xfrm>
          <a:off x="27241502" y="163286"/>
          <a:ext cx="707569" cy="6803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61</xdr:col>
      <xdr:colOff>277091</xdr:colOff>
      <xdr:row>7</xdr:row>
      <xdr:rowOff>242456</xdr:rowOff>
    </xdr:from>
    <xdr:to>
      <xdr:col>65</xdr:col>
      <xdr:colOff>477115</xdr:colOff>
      <xdr:row>10</xdr:row>
      <xdr:rowOff>78799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41FA7FFD-A627-583A-EBFA-44CFC76749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5648227" y="1679865"/>
          <a:ext cx="771525" cy="13949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  <wetp:taskpane dockstate="right" visibility="0" width="350" row="3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5F933F66-FA9E-4C5C-8C6D-F8232B319659}">
  <we:reference id="wa200005271" version="2.5.5.0" store="ru-RU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4AD7392E-CA80-4E9F-887E-42DBE94F407A}">
  <we:reference id="wa200005502" version="1.0.0.11" store="ru-RU" storeType="OMEX"/>
  <we:alternateReferences>
    <we:reference id="wa200005502" version="1.0.0.11" store="wa200005502" storeType="OMEX"/>
  </we:alternateReferences>
  <we:properties>
    <we:property name="docId" value="&quot;g75dGZUfo_w7tORTSFnkt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L169"/>
  <sheetViews>
    <sheetView zoomScale="85" zoomScaleNormal="85" workbookViewId="0">
      <selection activeCell="AG7" sqref="AG7:AH10"/>
    </sheetView>
  </sheetViews>
  <sheetFormatPr defaultRowHeight="17.100000000000001" customHeight="1" x14ac:dyDescent="0.25"/>
  <cols>
    <col min="1" max="1" width="26.7109375" style="1" bestFit="1" customWidth="1"/>
    <col min="2" max="2" width="6.140625" style="1" bestFit="1" customWidth="1"/>
    <col min="3" max="3" width="6.7109375" style="1" bestFit="1" customWidth="1"/>
    <col min="4" max="5" width="10.85546875" style="1" customWidth="1"/>
    <col min="6" max="6" width="5.7109375" style="1" customWidth="1"/>
    <col min="7" max="30" width="9.7109375" style="1" customWidth="1"/>
    <col min="31" max="31" width="6" style="1" customWidth="1"/>
    <col min="32" max="38" width="10.85546875" style="1" customWidth="1"/>
    <col min="39" max="48" width="10.85546875" customWidth="1"/>
  </cols>
  <sheetData>
    <row r="1" spans="1:31" ht="24.95" customHeight="1" x14ac:dyDescent="0.25">
      <c r="A1" s="2" t="s">
        <v>104</v>
      </c>
      <c r="B1" s="2" t="s">
        <v>16</v>
      </c>
      <c r="C1" s="2" t="s">
        <v>103</v>
      </c>
      <c r="F1" s="18"/>
      <c r="G1" s="19" t="s">
        <v>112</v>
      </c>
      <c r="H1" s="24">
        <f ca="1">TODAY()</f>
        <v>45839</v>
      </c>
      <c r="I1" s="20" t="s">
        <v>113</v>
      </c>
      <c r="J1" s="21">
        <f ca="1">NOW()</f>
        <v>45839.673177199074</v>
      </c>
      <c r="K1" s="18"/>
      <c r="L1" s="18"/>
      <c r="M1" s="18"/>
      <c r="N1" s="18"/>
      <c r="O1" s="18"/>
      <c r="P1" s="18" t="s">
        <v>110</v>
      </c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</row>
    <row r="2" spans="1:31" ht="24.95" customHeight="1" x14ac:dyDescent="0.25">
      <c r="A2" s="153" t="s">
        <v>14</v>
      </c>
      <c r="B2" s="2" t="s">
        <v>3</v>
      </c>
      <c r="C2" s="2">
        <v>1</v>
      </c>
      <c r="D2" s="22" t="str" cm="1">
        <f t="array" ref="D2">IFERROR(INDEX(Данные!$B$1:$B$200,SMALL(IF(B2=Данные!$A$1:$A$200,ROW(Данные!$A$1:$A$200)),C2)),"")</f>
        <v>SHA01280</v>
      </c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49" t="s">
        <v>105</v>
      </c>
      <c r="AB2" s="149"/>
      <c r="AC2" s="149"/>
      <c r="AD2" s="3"/>
      <c r="AE2" s="3"/>
    </row>
    <row r="3" spans="1:31" ht="24.95" customHeight="1" x14ac:dyDescent="0.25">
      <c r="A3" s="153"/>
      <c r="B3" s="2" t="s">
        <v>3</v>
      </c>
      <c r="C3" s="2">
        <v>2</v>
      </c>
      <c r="D3" s="22" t="str" cm="1">
        <f t="array" ref="D3">IFERROR(INDEX(Данные!$B$1:$B$200,SMALL(IF(B3=Данные!$A$1:$A$200,ROW(Данные!$A$1:$A$200)),C3)),"")</f>
        <v>SHA01279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13" t="str">
        <f>D6</f>
        <v>SHA01278</v>
      </c>
      <c r="AB3" s="13" t="str">
        <f>D7</f>
        <v>SHA01277</v>
      </c>
      <c r="AC3" s="13" t="str">
        <f>D8</f>
        <v/>
      </c>
      <c r="AD3" s="3"/>
      <c r="AE3" s="3"/>
    </row>
    <row r="4" spans="1:31" ht="24.95" customHeight="1" x14ac:dyDescent="0.25">
      <c r="A4" s="153"/>
      <c r="B4" s="2" t="s">
        <v>3</v>
      </c>
      <c r="C4" s="2">
        <v>3</v>
      </c>
      <c r="D4" s="23" t="str" cm="1">
        <f t="array" ref="D4">IFERROR(INDEX(Данные!$B$1:$B$200,SMALL(IF(B4=Данные!$A$1:$A$200,ROW(Данные!$A$1:$A$200)),C4)),"")</f>
        <v>SHA01276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</row>
    <row r="5" spans="1:31" ht="24.95" customHeight="1" x14ac:dyDescent="0.25">
      <c r="A5" s="153"/>
      <c r="B5" s="2" t="s">
        <v>3</v>
      </c>
      <c r="C5" s="2">
        <v>4</v>
      </c>
      <c r="D5" s="22" t="str" cm="1">
        <f t="array" ref="D5">IFERROR(INDEX(Данные!$B$1:$B$200,SMALL(IF(B5=Данные!$A$1:$A$200,ROW(Данные!$A$1:$A$200)),C5)),"")</f>
        <v>SHA01275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 t="s">
        <v>14</v>
      </c>
      <c r="Z5" s="3"/>
      <c r="AA5" s="3"/>
      <c r="AB5" s="3"/>
      <c r="AC5" s="3"/>
      <c r="AD5" s="3"/>
      <c r="AE5" s="3"/>
    </row>
    <row r="6" spans="1:31" ht="24.95" customHeight="1" x14ac:dyDescent="0.25">
      <c r="A6" s="153" t="s">
        <v>105</v>
      </c>
      <c r="B6" s="2" t="s">
        <v>4</v>
      </c>
      <c r="C6" s="2">
        <v>1</v>
      </c>
      <c r="D6" s="22" t="str" cm="1">
        <f t="array" ref="D6">IFERROR(INDEX(Данные!$B$1:$B$200,SMALL(IF(B6=Данные!$A$1:$A$200,ROW(Данные!$A$1:$A$200)),C6)),"")</f>
        <v>SHA01278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12" t="str">
        <f>D2</f>
        <v>SHA01280</v>
      </c>
      <c r="AA6" s="12" t="str">
        <f>D3</f>
        <v>SHA01279</v>
      </c>
      <c r="AB6" s="12" t="str">
        <f>D4</f>
        <v>SHA01276</v>
      </c>
      <c r="AC6" s="12" t="str">
        <f>D5</f>
        <v>SHA01275</v>
      </c>
      <c r="AD6" s="3"/>
      <c r="AE6" s="3"/>
    </row>
    <row r="7" spans="1:31" ht="24.95" customHeight="1" x14ac:dyDescent="0.25">
      <c r="A7" s="153"/>
      <c r="B7" s="2" t="s">
        <v>4</v>
      </c>
      <c r="C7" s="2">
        <v>2</v>
      </c>
      <c r="D7" s="22" t="str" cm="1">
        <f t="array" ref="D7">IFERROR(INDEX(Данные!$B$1:$B$200,SMALL(IF(B7=Данные!$A$1:$A$200,ROW(Данные!$A$1:$A$200)),C7)),"")</f>
        <v>SHA01277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5"/>
      <c r="AB7" s="3"/>
      <c r="AC7" s="3"/>
      <c r="AD7" s="3"/>
      <c r="AE7" s="3"/>
    </row>
    <row r="8" spans="1:31" ht="24.95" customHeight="1" x14ac:dyDescent="0.25">
      <c r="A8" s="153"/>
      <c r="B8" s="2" t="s">
        <v>4</v>
      </c>
      <c r="C8" s="2">
        <v>3</v>
      </c>
      <c r="D8" s="22" t="str" cm="1">
        <f t="array" ref="D8">IFERROR(INDEX(Данные!$B$1:$B$200,SMALL(IF(B8=Данные!$A$1:$A$200,ROW(Данные!$A$1:$A$200)),C8)),"")</f>
        <v/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4" t="s">
        <v>106</v>
      </c>
      <c r="Z8" s="14">
        <v>10</v>
      </c>
      <c r="AA8" s="5"/>
      <c r="AB8" s="5"/>
      <c r="AC8" s="5"/>
      <c r="AD8" s="3"/>
      <c r="AE8" s="3"/>
    </row>
    <row r="9" spans="1:31" ht="24.95" customHeight="1" x14ac:dyDescent="0.25">
      <c r="A9" s="153" t="s">
        <v>13</v>
      </c>
      <c r="B9" s="2" t="s">
        <v>5</v>
      </c>
      <c r="C9" s="2">
        <v>1</v>
      </c>
      <c r="D9" s="22" t="str" cm="1">
        <f t="array" ref="D9">IFERROR(INDEX(Данные!$B$1:$B$200,SMALL(IF(B9=Данные!$A$1:$A$200,ROW(Данные!$A$1:$A$200)),C9)),"")</f>
        <v>SHA01274</v>
      </c>
      <c r="E9" s="1">
        <f>COUNTA($D9:D$22)-COUNTBLANK($D9:D$22)</f>
        <v>11</v>
      </c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4" t="s">
        <v>107</v>
      </c>
      <c r="Z9" s="15">
        <f>COUNTA(X11:AD12)-COUNTBLANK(X11:AD12)</f>
        <v>11</v>
      </c>
      <c r="AA9" s="3"/>
      <c r="AB9" s="3"/>
      <c r="AC9" s="3"/>
      <c r="AD9" s="3"/>
      <c r="AE9" s="3"/>
    </row>
    <row r="10" spans="1:31" ht="24.95" customHeight="1" x14ac:dyDescent="0.25">
      <c r="A10" s="153"/>
      <c r="B10" s="2" t="s">
        <v>5</v>
      </c>
      <c r="C10" s="2">
        <v>2</v>
      </c>
      <c r="D10" s="22" t="str" cm="1">
        <f t="array" ref="D10">IFERROR(INDEX(Данные!$B$1:$B$200,SMALL(IF(B10=Данные!$A$1:$A$200,ROW(Данные!$A$1:$A$200)),C10)),"")</f>
        <v>SHA01273</v>
      </c>
      <c r="E10" s="1">
        <f>COUNTA($D10:D$22)-COUNTBLANK($D10:D$22)</f>
        <v>10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149" t="s">
        <v>13</v>
      </c>
      <c r="Y10" s="149"/>
      <c r="Z10" s="149"/>
      <c r="AA10" s="149"/>
      <c r="AB10" s="149"/>
      <c r="AC10" s="149"/>
      <c r="AD10" s="149"/>
      <c r="AE10" s="3"/>
    </row>
    <row r="11" spans="1:31" ht="24.95" customHeight="1" x14ac:dyDescent="0.25">
      <c r="A11" s="153"/>
      <c r="B11" s="2" t="s">
        <v>5</v>
      </c>
      <c r="C11" s="2">
        <v>3</v>
      </c>
      <c r="D11" s="22" t="str" cm="1">
        <f t="array" ref="D11">IFERROR(INDEX(Данные!$B$1:$B$200,SMALL(IF(B11=Данные!$A$1:$A$200,ROW(Данные!$A$1:$A$200)),C11)),"")</f>
        <v>SHA01272</v>
      </c>
      <c r="E11" s="1">
        <f>COUNTA($D11:D$22)-COUNTBLANK($D11:D$22)</f>
        <v>9</v>
      </c>
      <c r="F11" s="3"/>
      <c r="G11" s="3"/>
      <c r="H11" s="3"/>
      <c r="I11" s="3"/>
      <c r="J11" s="3"/>
      <c r="K11" s="3"/>
      <c r="L11" s="3"/>
      <c r="M11" s="3"/>
      <c r="N11" s="149" t="s">
        <v>111</v>
      </c>
      <c r="O11" s="149"/>
      <c r="P11" s="149"/>
      <c r="Q11" s="149"/>
      <c r="R11" s="149"/>
      <c r="S11" s="149"/>
      <c r="T11" s="149"/>
      <c r="U11" s="149"/>
      <c r="V11" s="149"/>
      <c r="W11" s="3"/>
      <c r="X11" s="12" t="str">
        <f>IFERROR(INDEX($D$9:$D$22,MATCH(2,$E$9:$E$22,0)),"")</f>
        <v>SHA01265</v>
      </c>
      <c r="Y11" s="12" t="str">
        <f>IFERROR(INDEX($D$9:$D$22,MATCH(4,$E$9:$E$22,0)),"")</f>
        <v>SHA01267</v>
      </c>
      <c r="Z11" s="12" t="str">
        <f>IFERROR(INDEX($D$9:$D$22,MATCH(6,$E$9:$E$22,0)),"")</f>
        <v>SHA01269</v>
      </c>
      <c r="AA11" s="12" t="str">
        <f>IFERROR(INDEX($D$9:$D$22,MATCH(8,$E$9:$E$22,0)),"")</f>
        <v>SHA01271</v>
      </c>
      <c r="AB11" s="12" t="str">
        <f>IFERROR(INDEX($D$9:$D$22,MATCH(10,$E$9:$E$22,0)),"")</f>
        <v>SHA01273</v>
      </c>
      <c r="AC11" s="12" t="str">
        <f>IFERROR(INDEX($D$9:$D$22,MATCH(12,$E$9:$E$22,0)),"")</f>
        <v/>
      </c>
      <c r="AD11" s="12" t="str">
        <f>IFERROR(INDEX($D$9:$D$22,MATCH(14,$E$9:$E$22,0)),"")</f>
        <v/>
      </c>
      <c r="AE11" s="3"/>
    </row>
    <row r="12" spans="1:31" ht="24.95" customHeight="1" x14ac:dyDescent="0.25">
      <c r="A12" s="153"/>
      <c r="B12" s="2" t="s">
        <v>5</v>
      </c>
      <c r="C12" s="2">
        <v>4</v>
      </c>
      <c r="D12" s="22" t="str" cm="1">
        <f t="array" ref="D12">IFERROR(INDEX(Данные!$B$1:$B$200,SMALL(IF(B12=Данные!$A$1:$A$200,ROW(Данные!$A$1:$A$200)),C12)),"")</f>
        <v>SHA01271</v>
      </c>
      <c r="E12" s="1">
        <f>COUNTA($D12:D$22)-COUNTBLANK($D12:D$22)</f>
        <v>8</v>
      </c>
      <c r="F12" s="3"/>
      <c r="G12" s="3"/>
      <c r="H12" s="3"/>
      <c r="I12" s="3"/>
      <c r="J12" s="3"/>
      <c r="K12" s="3"/>
      <c r="L12" s="3"/>
      <c r="M12" s="3"/>
      <c r="N12" s="12" t="str">
        <f>D31</f>
        <v>SHA01255</v>
      </c>
      <c r="O12" s="12" t="str">
        <f>D30</f>
        <v>SHA01256</v>
      </c>
      <c r="P12" s="12" t="str">
        <f>D29</f>
        <v>SHA01257</v>
      </c>
      <c r="Q12" s="12" t="str">
        <f>D28</f>
        <v>SHA01258</v>
      </c>
      <c r="R12" s="12" t="str">
        <f>D27</f>
        <v>SHA01259</v>
      </c>
      <c r="S12" s="12" t="str">
        <f>D26</f>
        <v>SHA01260</v>
      </c>
      <c r="T12" s="12" t="str">
        <f>D25</f>
        <v>SHA01261</v>
      </c>
      <c r="U12" s="12" t="str">
        <f>D24</f>
        <v>SHA01262</v>
      </c>
      <c r="V12" s="12" t="str">
        <f>D23</f>
        <v>SHA01263</v>
      </c>
      <c r="W12" s="3"/>
      <c r="X12" s="12" t="str">
        <f>IFERROR(INDEX($D$9:$D$22,MATCH(1,$E$9:$E$22,0)),"")</f>
        <v>SHA01264</v>
      </c>
      <c r="Y12" s="12" t="str">
        <f>IFERROR(INDEX($D$9:$D$22,MATCH(3,$E$9:$E$22,0)),"")</f>
        <v>SHA01266</v>
      </c>
      <c r="Z12" s="12" t="str">
        <f>IFERROR(INDEX($D$9:$D$22,MATCH(5,$E$9:$E$22,0)),"")</f>
        <v>SHA01268</v>
      </c>
      <c r="AA12" s="12" t="str">
        <f>IFERROR(INDEX($D$9:$D$22,MATCH(7,$E$9:$E$22,0)),"")</f>
        <v>SHA01270</v>
      </c>
      <c r="AB12" s="12" t="str">
        <f>IFERROR(INDEX($D$9:$D$22,MATCH(9,$E$9:$E$22,0)),"")</f>
        <v>SHA01272</v>
      </c>
      <c r="AC12" s="12" t="str">
        <f>IFERROR(INDEX($D$9:$D$22,MATCH(11,$E$9:$E$22,0)),"")</f>
        <v>SHA01274</v>
      </c>
      <c r="AD12" s="12" t="str">
        <f>IFERROR(INDEX($D$9:$D$22,MATCH(13,$E$9:$E$22,0)),"")</f>
        <v/>
      </c>
      <c r="AE12" s="3"/>
    </row>
    <row r="13" spans="1:31" ht="24.95" customHeight="1" x14ac:dyDescent="0.25">
      <c r="A13" s="153"/>
      <c r="B13" s="2" t="s">
        <v>5</v>
      </c>
      <c r="C13" s="2">
        <v>5</v>
      </c>
      <c r="D13" s="22" t="str" cm="1">
        <f t="array" ref="D13">IFERROR(INDEX(Данные!$B$1:$B$200,SMALL(IF(B13=Данные!$A$1:$A$200,ROW(Данные!$A$1:$A$200)),C13)),"")</f>
        <v>SHA01270</v>
      </c>
      <c r="E13" s="1">
        <f>COUNTA($D13:D$22)-COUNTBLANK($D13:D$22)</f>
        <v>7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</row>
    <row r="14" spans="1:31" ht="24.95" customHeight="1" x14ac:dyDescent="0.25">
      <c r="A14" s="153"/>
      <c r="B14" s="2" t="s">
        <v>5</v>
      </c>
      <c r="C14" s="2">
        <v>6</v>
      </c>
      <c r="D14" s="22" t="str" cm="1">
        <f t="array" ref="D14">IFERROR(INDEX(Данные!$B$1:$B$200,SMALL(IF(B14=Данные!$A$1:$A$200,ROW(Данные!$A$1:$A$200)),C14)),"")</f>
        <v>SHA01269</v>
      </c>
      <c r="E14" s="1">
        <f>COUNTA($D14:D$22)-COUNTBLANK($D14:D$22)</f>
        <v>6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</row>
    <row r="15" spans="1:31" ht="24.95" customHeight="1" x14ac:dyDescent="0.25">
      <c r="A15" s="153"/>
      <c r="B15" s="2" t="s">
        <v>5</v>
      </c>
      <c r="C15" s="2">
        <v>7</v>
      </c>
      <c r="D15" s="22" t="str" cm="1">
        <f t="array" ref="D15">IFERROR(INDEX(Данные!$B$1:$B$200,SMALL(IF(B15=Данные!$A$1:$A$200,ROW(Данные!$A$1:$A$200)),C15)),"")</f>
        <v>SHA01268</v>
      </c>
      <c r="E15" s="1">
        <f>COUNTA($D15:D$22)-COUNTBLANK($D15:D$22)</f>
        <v>5</v>
      </c>
      <c r="F15" s="6"/>
      <c r="G15" s="6" t="s">
        <v>102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10" t="s">
        <v>0</v>
      </c>
      <c r="AE15" s="6"/>
    </row>
    <row r="16" spans="1:31" ht="24.95" customHeight="1" x14ac:dyDescent="0.25">
      <c r="A16" s="153"/>
      <c r="B16" s="2" t="s">
        <v>5</v>
      </c>
      <c r="C16" s="2">
        <v>8</v>
      </c>
      <c r="D16" s="22" t="str" cm="1">
        <f t="array" ref="D16">IFERROR(INDEX(Данные!$B$1:$B$200,SMALL(IF(B16=Данные!$A$1:$A$200,ROW(Данные!$A$1:$A$200)),C16)),"")</f>
        <v>SHA01267</v>
      </c>
      <c r="E16" s="1">
        <f>COUNTA($D16:D$22)-COUNTBLANK($D16:D$22)</f>
        <v>4</v>
      </c>
      <c r="F16" s="6"/>
      <c r="G16" s="12" t="str">
        <f>D58</f>
        <v>SHA01229</v>
      </c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10" t="s">
        <v>0</v>
      </c>
      <c r="W16" s="6"/>
      <c r="X16" s="6"/>
      <c r="Y16" s="6"/>
      <c r="Z16" s="6"/>
      <c r="AA16" s="6"/>
      <c r="AB16" s="6"/>
      <c r="AC16" s="6"/>
      <c r="AD16" s="12" t="str">
        <f>D32</f>
        <v>SHA01254</v>
      </c>
      <c r="AE16" s="6"/>
    </row>
    <row r="17" spans="1:31" ht="24.95" customHeight="1" x14ac:dyDescent="0.25">
      <c r="A17" s="153"/>
      <c r="B17" s="2" t="s">
        <v>5</v>
      </c>
      <c r="C17" s="2">
        <v>9</v>
      </c>
      <c r="D17" s="22" t="str" cm="1">
        <f t="array" ref="D17">IFERROR(INDEX(Данные!$B$1:$B$200,SMALL(IF(B17=Данные!$A$1:$A$200,ROW(Данные!$A$1:$A$200)),C17)),"")</f>
        <v>SHA01266</v>
      </c>
      <c r="E17" s="1">
        <f>COUNTA($D17:D$22)-COUNTBLANK($D17:D$22)</f>
        <v>3</v>
      </c>
      <c r="F17" s="6"/>
      <c r="G17" s="150" t="s">
        <v>2</v>
      </c>
      <c r="H17" s="150"/>
      <c r="I17" s="150"/>
      <c r="J17" s="150"/>
      <c r="K17" s="150"/>
      <c r="L17" s="150"/>
      <c r="M17" s="150"/>
      <c r="N17" s="150"/>
      <c r="O17" s="150"/>
      <c r="P17" s="150"/>
      <c r="Q17" s="150"/>
      <c r="R17" s="150"/>
      <c r="S17" s="150"/>
      <c r="T17" s="150"/>
      <c r="U17" s="6"/>
      <c r="V17" s="12"/>
      <c r="W17" s="148" t="s">
        <v>1</v>
      </c>
      <c r="X17" s="148"/>
      <c r="Y17" s="148"/>
      <c r="Z17" s="148"/>
      <c r="AA17" s="148"/>
      <c r="AB17" s="148"/>
      <c r="AC17" s="148"/>
      <c r="AD17" s="148"/>
      <c r="AE17" s="6"/>
    </row>
    <row r="18" spans="1:31" ht="24.95" customHeight="1" x14ac:dyDescent="0.25">
      <c r="A18" s="153"/>
      <c r="B18" s="2" t="s">
        <v>5</v>
      </c>
      <c r="C18" s="2">
        <v>10</v>
      </c>
      <c r="D18" s="22" t="str" cm="1">
        <f t="array" ref="D18">IFERROR(INDEX(Данные!$B$1:$B$200,SMALL(IF(B18=Данные!$A$1:$A$200,ROW(Данные!$A$1:$A$200)),C18)),"")</f>
        <v>SHA01265</v>
      </c>
      <c r="E18" s="1">
        <f>COUNTA($D18:D$22)-COUNTBLANK($D18:D$22)</f>
        <v>2</v>
      </c>
      <c r="F18" s="6"/>
      <c r="G18" s="12" t="str">
        <f>D57</f>
        <v/>
      </c>
      <c r="H18" s="12" t="str">
        <f>D56</f>
        <v/>
      </c>
      <c r="I18" s="12" t="str">
        <f>D55</f>
        <v>SHA01230</v>
      </c>
      <c r="J18" s="12" t="str">
        <f>D54</f>
        <v>SHA01231</v>
      </c>
      <c r="K18" s="12" t="str">
        <f>D53</f>
        <v>SHA01232</v>
      </c>
      <c r="L18" s="12" t="str">
        <f>D52</f>
        <v>SHA01233</v>
      </c>
      <c r="M18" s="12" t="str">
        <f>D51</f>
        <v>SHA01234</v>
      </c>
      <c r="N18" s="12" t="str">
        <f>D50</f>
        <v>SHA01235</v>
      </c>
      <c r="O18" s="12" t="str">
        <f>D49</f>
        <v>SHA01236</v>
      </c>
      <c r="P18" s="12" t="str">
        <f>D48</f>
        <v>SHA01237</v>
      </c>
      <c r="Q18" s="12" t="str">
        <f>D47</f>
        <v>SHA01238</v>
      </c>
      <c r="R18" s="12" t="str">
        <f>D46</f>
        <v>SHA01242</v>
      </c>
      <c r="S18" s="12" t="str">
        <f>D45</f>
        <v>SHA01243</v>
      </c>
      <c r="T18" s="12" t="str">
        <f>D44</f>
        <v>SHA01244</v>
      </c>
      <c r="U18" s="6"/>
      <c r="V18" s="12" t="str">
        <f>D41</f>
        <v>SHA01245</v>
      </c>
      <c r="W18" s="12" t="str">
        <f>D40</f>
        <v>SHA01246</v>
      </c>
      <c r="X18" s="12" t="str">
        <f>D39</f>
        <v>SHA01247</v>
      </c>
      <c r="Y18" s="12" t="str">
        <f>D38</f>
        <v>SHA01248</v>
      </c>
      <c r="Z18" s="12" t="str">
        <f>D37</f>
        <v>SHA01249</v>
      </c>
      <c r="AA18" s="12" t="str">
        <f>D36</f>
        <v>SHA01250</v>
      </c>
      <c r="AB18" s="12" t="str">
        <f>D35</f>
        <v>SHA01251</v>
      </c>
      <c r="AC18" s="12" t="str">
        <f>D34</f>
        <v>SHA01252</v>
      </c>
      <c r="AD18" s="12" t="str">
        <f>D33</f>
        <v>SHA01253</v>
      </c>
      <c r="AE18" s="6"/>
    </row>
    <row r="19" spans="1:31" ht="24.95" customHeight="1" x14ac:dyDescent="0.25">
      <c r="A19" s="153"/>
      <c r="B19" s="2" t="s">
        <v>5</v>
      </c>
      <c r="C19" s="2">
        <v>11</v>
      </c>
      <c r="D19" s="22" t="str" cm="1">
        <f t="array" ref="D19">IFERROR(INDEX(Данные!$B$1:$B$200,SMALL(IF(B19=Данные!$A$1:$A$200,ROW(Данные!$A$1:$A$200)),C19)),"")</f>
        <v>SHA01264</v>
      </c>
      <c r="E19" s="1">
        <f>COUNTA($D19:D$22)-COUNTBLANK($D19:D$22)</f>
        <v>1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12"/>
      <c r="W19" s="6"/>
      <c r="X19" s="6"/>
      <c r="Y19" s="6"/>
      <c r="Z19" s="6"/>
      <c r="AA19" s="6"/>
      <c r="AB19" s="6"/>
      <c r="AC19" s="6"/>
      <c r="AD19" s="6"/>
      <c r="AE19" s="6"/>
    </row>
    <row r="20" spans="1:31" ht="24.95" customHeight="1" x14ac:dyDescent="0.25">
      <c r="A20" s="153"/>
      <c r="B20" s="2" t="s">
        <v>5</v>
      </c>
      <c r="C20" s="2">
        <v>12</v>
      </c>
      <c r="D20" s="22" t="str" cm="1">
        <f t="array" ref="D20">IFERROR(INDEX(Данные!$B$1:$B$200,SMALL(IF(B20=Данные!$A$1:$A$200,ROW(Данные!$A$1:$A$200)),C20)),"")</f>
        <v/>
      </c>
      <c r="E20" s="1">
        <f>COUNTA($D20:D$22)-COUNTBLANK($D20:D$22)</f>
        <v>0</v>
      </c>
      <c r="F20" s="6"/>
      <c r="G20" s="148" t="s">
        <v>15</v>
      </c>
      <c r="H20" s="148"/>
      <c r="I20" s="6"/>
      <c r="J20" s="148" t="s">
        <v>116</v>
      </c>
      <c r="K20" s="148"/>
      <c r="L20" s="148"/>
      <c r="M20" s="6"/>
      <c r="N20" s="155" t="s">
        <v>121</v>
      </c>
      <c r="O20" s="155"/>
      <c r="P20" s="6"/>
      <c r="Q20" s="155" t="s">
        <v>122</v>
      </c>
      <c r="R20" s="155"/>
      <c r="S20" s="6"/>
      <c r="T20" s="148" t="s">
        <v>119</v>
      </c>
      <c r="U20" s="148"/>
      <c r="V20" s="148"/>
      <c r="W20" s="6"/>
      <c r="X20" s="148" t="s">
        <v>114</v>
      </c>
      <c r="Y20" s="148"/>
      <c r="Z20" s="148"/>
      <c r="AA20" s="6"/>
      <c r="AB20" s="152" t="s">
        <v>126</v>
      </c>
      <c r="AC20" s="152"/>
      <c r="AD20" s="152"/>
      <c r="AE20" s="6"/>
    </row>
    <row r="21" spans="1:31" ht="24.95" customHeight="1" x14ac:dyDescent="0.25">
      <c r="A21" s="153"/>
      <c r="B21" s="2" t="s">
        <v>5</v>
      </c>
      <c r="C21" s="2">
        <v>13</v>
      </c>
      <c r="D21" s="22" t="str" cm="1">
        <f t="array" ref="D21">IFERROR(INDEX(Данные!$B$1:$B$200,SMALL(IF(B21=Данные!$A$1:$A$200,ROW(Данные!$A$1:$A$200)),C21)),"")</f>
        <v/>
      </c>
      <c r="E21" s="1">
        <f>COUNTA($D21:D$22)-COUNTBLANK($D21:D$22)</f>
        <v>0</v>
      </c>
      <c r="F21" s="6"/>
      <c r="G21" s="13" t="str">
        <f>D165</f>
        <v>SHA01217</v>
      </c>
      <c r="H21" s="13" t="str">
        <f>D166</f>
        <v>SHA01216</v>
      </c>
      <c r="I21" s="6"/>
      <c r="J21" s="13" t="str">
        <f>D123</f>
        <v>SHA01219</v>
      </c>
      <c r="K21" s="13" t="str">
        <f>D124</f>
        <v>SHA01218</v>
      </c>
      <c r="L21" s="13" t="str">
        <f>D125</f>
        <v/>
      </c>
      <c r="M21" s="6"/>
      <c r="N21" s="13" t="str">
        <f>D87</f>
        <v>SHA01211</v>
      </c>
      <c r="O21" s="13" t="str">
        <f>D88</f>
        <v/>
      </c>
      <c r="P21" s="6"/>
      <c r="Q21" s="13" t="str">
        <f>D83</f>
        <v>SHA01213</v>
      </c>
      <c r="R21" s="13" t="str">
        <f>D84</f>
        <v/>
      </c>
      <c r="S21" s="6"/>
      <c r="T21" s="13" t="str">
        <f>D71</f>
        <v>SHA01221</v>
      </c>
      <c r="U21" s="13" t="str">
        <f>D72</f>
        <v>SHA01220</v>
      </c>
      <c r="V21" s="13" t="str">
        <f>D73</f>
        <v/>
      </c>
      <c r="W21" s="6"/>
      <c r="X21" s="13" t="str">
        <f>D59</f>
        <v>SHA01241</v>
      </c>
      <c r="Y21" s="13" t="str">
        <f>D60</f>
        <v>SHA01240</v>
      </c>
      <c r="Z21" s="13" t="str">
        <f>D61</f>
        <v>SHA01239</v>
      </c>
      <c r="AA21" s="6"/>
      <c r="AB21" s="13" t="str">
        <f>D144</f>
        <v>SHA01209</v>
      </c>
      <c r="AC21" s="13" t="str">
        <f>D145</f>
        <v>SHA01208</v>
      </c>
      <c r="AD21" s="13" t="str">
        <f>D146</f>
        <v/>
      </c>
      <c r="AE21" s="6"/>
    </row>
    <row r="22" spans="1:31" ht="24.95" customHeight="1" x14ac:dyDescent="0.25">
      <c r="A22" s="153"/>
      <c r="B22" s="2" t="s">
        <v>5</v>
      </c>
      <c r="C22" s="2">
        <v>14</v>
      </c>
      <c r="D22" s="22" t="str" cm="1">
        <f t="array" ref="D22">IFERROR(INDEX(Данные!$B$1:$B$200,SMALL(IF(B22=Данные!$A$1:$A$200,ROW(Данные!$A$1:$A$200)),C22)),"")</f>
        <v/>
      </c>
      <c r="E22" s="1">
        <f>COUNTA($D$22:D22)-COUNTBLANK($D$22:D22)</f>
        <v>0</v>
      </c>
      <c r="F22" s="6"/>
      <c r="G22" s="13" t="str">
        <f>D167</f>
        <v/>
      </c>
      <c r="H22" s="13" t="str">
        <f>D168</f>
        <v/>
      </c>
      <c r="I22" s="6"/>
      <c r="J22" s="13" t="str">
        <f>D126</f>
        <v/>
      </c>
      <c r="K22" s="13" t="str">
        <f>D127</f>
        <v/>
      </c>
      <c r="L22" s="13" t="str">
        <f>D128</f>
        <v/>
      </c>
      <c r="M22" s="6"/>
      <c r="N22" s="13" t="str">
        <f>D89</f>
        <v/>
      </c>
      <c r="O22" s="13" t="str">
        <f>D90</f>
        <v/>
      </c>
      <c r="P22" s="6"/>
      <c r="Q22" s="13" t="str">
        <f>D85</f>
        <v/>
      </c>
      <c r="R22" s="13" t="str">
        <f>D86</f>
        <v/>
      </c>
      <c r="S22" s="6"/>
      <c r="T22" s="13" t="str">
        <f>D74</f>
        <v/>
      </c>
      <c r="U22" s="13" t="str">
        <f>D75</f>
        <v/>
      </c>
      <c r="V22" s="13" t="str">
        <f>D76</f>
        <v/>
      </c>
      <c r="W22" s="6"/>
      <c r="X22" s="13" t="str">
        <f>D62</f>
        <v>SHA01228</v>
      </c>
      <c r="Y22" s="13" t="str">
        <f>D63</f>
        <v>SHA01227</v>
      </c>
      <c r="Z22" s="13" t="str">
        <f>D64</f>
        <v>SHA01226</v>
      </c>
      <c r="AA22" s="6"/>
      <c r="AB22" s="13" t="str">
        <f>D147</f>
        <v/>
      </c>
      <c r="AC22" s="13" t="str">
        <f>D148</f>
        <v/>
      </c>
      <c r="AD22" s="13" t="str">
        <f>D149</f>
        <v/>
      </c>
      <c r="AE22" s="6"/>
    </row>
    <row r="23" spans="1:31" ht="24.95" customHeight="1" x14ac:dyDescent="0.25">
      <c r="A23" s="153" t="s">
        <v>111</v>
      </c>
      <c r="B23" s="2" t="s">
        <v>6</v>
      </c>
      <c r="C23" s="2">
        <v>1</v>
      </c>
      <c r="D23" s="22" t="str" cm="1">
        <f t="array" ref="D23">IFERROR(INDEX(Данные!$B$1:$B$200,SMALL(IF(B23=Данные!$A$1:$A$200,ROW(Данные!$A$1:$A$200)),C23)),"")</f>
        <v>SHA01263</v>
      </c>
      <c r="F23" s="6"/>
      <c r="G23" s="13" t="str">
        <f>D169</f>
        <v/>
      </c>
      <c r="H23" s="6"/>
      <c r="I23" s="6"/>
      <c r="J23" s="148" t="s">
        <v>117</v>
      </c>
      <c r="K23" s="148"/>
      <c r="L23" s="148"/>
      <c r="M23" s="6"/>
      <c r="N23" s="155" t="s">
        <v>123</v>
      </c>
      <c r="O23" s="155"/>
      <c r="P23" s="6"/>
      <c r="Q23" s="155" t="s">
        <v>124</v>
      </c>
      <c r="R23" s="155"/>
      <c r="S23" s="6"/>
      <c r="T23" s="13" t="str">
        <f>D77</f>
        <v/>
      </c>
      <c r="U23" s="13" t="str">
        <f>D78</f>
        <v/>
      </c>
      <c r="V23" s="13" t="str">
        <f>D79</f>
        <v/>
      </c>
      <c r="W23" s="6"/>
      <c r="X23" s="13" t="str">
        <f>D65</f>
        <v>SHA01225</v>
      </c>
      <c r="Y23" s="13" t="str">
        <f>D66</f>
        <v>SHA01224</v>
      </c>
      <c r="Z23" s="13" t="str">
        <f>D67</f>
        <v>SHA01223</v>
      </c>
      <c r="AA23" s="6"/>
      <c r="AB23" s="152" t="s">
        <v>127</v>
      </c>
      <c r="AC23" s="152"/>
      <c r="AD23" s="152"/>
      <c r="AE23" s="6"/>
    </row>
    <row r="24" spans="1:31" ht="24.95" customHeight="1" x14ac:dyDescent="0.25">
      <c r="A24" s="153"/>
      <c r="B24" s="2" t="s">
        <v>6</v>
      </c>
      <c r="C24" s="2">
        <v>2</v>
      </c>
      <c r="D24" s="22" t="str" cm="1">
        <f t="array" ref="D24">IFERROR(INDEX(Данные!$B$1:$B$200,SMALL(IF(B24=Данные!$A$1:$A$200,ROW(Данные!$A$1:$A$200)),C24)),"")</f>
        <v>SHA01262</v>
      </c>
      <c r="F24" s="6"/>
      <c r="G24" s="6"/>
      <c r="H24" s="6"/>
      <c r="I24" s="6"/>
      <c r="J24" s="13" t="str">
        <f>D129</f>
        <v>SHA01204</v>
      </c>
      <c r="K24" s="13" t="str">
        <f>D130</f>
        <v/>
      </c>
      <c r="L24" s="13" t="str">
        <f>D131</f>
        <v/>
      </c>
      <c r="M24" s="6"/>
      <c r="N24" s="13" t="str">
        <f>D119</f>
        <v>SHA01210</v>
      </c>
      <c r="O24" s="13" t="str">
        <f>D120</f>
        <v/>
      </c>
      <c r="P24" s="6"/>
      <c r="Q24" s="13" t="str">
        <f>D115</f>
        <v>SHA01212</v>
      </c>
      <c r="R24" s="13" t="str">
        <f>D116</f>
        <v/>
      </c>
      <c r="S24" s="6"/>
      <c r="T24" s="13" t="str">
        <f>D80</f>
        <v/>
      </c>
      <c r="U24" s="13" t="str">
        <f>D81</f>
        <v/>
      </c>
      <c r="V24" s="13" t="str">
        <f>D82</f>
        <v/>
      </c>
      <c r="W24" s="6"/>
      <c r="X24" s="13" t="str">
        <f>D68</f>
        <v>SHA01222</v>
      </c>
      <c r="Y24" s="13" t="str">
        <f>D69</f>
        <v/>
      </c>
      <c r="Z24" s="13" t="str">
        <f>D70</f>
        <v/>
      </c>
      <c r="AA24" s="6"/>
      <c r="AB24" s="13" t="str">
        <f>D150</f>
        <v>SHA01207</v>
      </c>
      <c r="AC24" s="13" t="str">
        <f>D151</f>
        <v/>
      </c>
      <c r="AD24" s="13" t="str">
        <f>D152</f>
        <v/>
      </c>
      <c r="AE24" s="6"/>
    </row>
    <row r="25" spans="1:31" ht="24.95" customHeight="1" x14ac:dyDescent="0.25">
      <c r="A25" s="153"/>
      <c r="B25" s="2" t="s">
        <v>6</v>
      </c>
      <c r="C25" s="2">
        <v>3</v>
      </c>
      <c r="D25" s="22" t="str" cm="1">
        <f t="array" ref="D25">IFERROR(INDEX(Данные!$B$1:$B$200,SMALL(IF(B25=Данные!$A$1:$A$200,ROW(Данные!$A$1:$A$200)),C25)),"")</f>
        <v>SHA01261</v>
      </c>
      <c r="F25" s="6"/>
      <c r="G25" s="6"/>
      <c r="H25" s="6"/>
      <c r="I25" s="6"/>
      <c r="J25" s="13" t="str">
        <f>D132</f>
        <v/>
      </c>
      <c r="K25" s="13" t="str">
        <f>D133</f>
        <v/>
      </c>
      <c r="L25" s="13" t="str">
        <f>D134</f>
        <v/>
      </c>
      <c r="M25" s="6"/>
      <c r="N25" s="13" t="str">
        <f>D121</f>
        <v/>
      </c>
      <c r="O25" s="13" t="str">
        <f>D122</f>
        <v/>
      </c>
      <c r="P25" s="6"/>
      <c r="Q25" s="13" t="str">
        <f>D117</f>
        <v/>
      </c>
      <c r="R25" s="13" t="str">
        <f>D118</f>
        <v/>
      </c>
      <c r="S25" s="6"/>
      <c r="T25" s="154" t="s">
        <v>120</v>
      </c>
      <c r="U25" s="154"/>
      <c r="V25" s="154"/>
      <c r="W25" s="6"/>
      <c r="X25" s="154" t="s">
        <v>115</v>
      </c>
      <c r="Y25" s="154"/>
      <c r="Z25" s="154"/>
      <c r="AA25" s="6"/>
      <c r="AB25" s="13" t="str">
        <f>D153</f>
        <v/>
      </c>
      <c r="AC25" s="13" t="str">
        <f>D154</f>
        <v/>
      </c>
      <c r="AD25" s="13" t="str">
        <f>D155</f>
        <v/>
      </c>
      <c r="AE25" s="6"/>
    </row>
    <row r="26" spans="1:31" ht="24.95" customHeight="1" x14ac:dyDescent="0.25">
      <c r="A26" s="153"/>
      <c r="B26" s="2" t="s">
        <v>6</v>
      </c>
      <c r="C26" s="2">
        <v>4</v>
      </c>
      <c r="D26" s="22" t="str" cm="1">
        <f t="array" ref="D26">IFERROR(INDEX(Данные!$B$1:$B$200,SMALL(IF(B26=Данные!$A$1:$A$200,ROW(Данные!$A$1:$A$200)),C26)),"")</f>
        <v>SHA01260</v>
      </c>
      <c r="F26" s="6"/>
      <c r="G26" s="6"/>
      <c r="H26" s="6"/>
      <c r="I26" s="6"/>
      <c r="J26" s="152" t="s">
        <v>125</v>
      </c>
      <c r="K26" s="152"/>
      <c r="L26" s="152"/>
      <c r="M26" s="6"/>
      <c r="N26" s="6"/>
      <c r="O26" s="6"/>
      <c r="P26" s="6"/>
      <c r="Q26" s="6"/>
      <c r="R26" s="6"/>
      <c r="S26" s="6"/>
      <c r="T26" s="13" t="str">
        <f>D103</f>
        <v>SHA01214</v>
      </c>
      <c r="U26" s="13" t="str">
        <f>D104</f>
        <v/>
      </c>
      <c r="V26" s="13" t="str">
        <f>D105</f>
        <v/>
      </c>
      <c r="W26" s="6"/>
      <c r="X26" s="13" t="str">
        <f>D91</f>
        <v>SHA01215</v>
      </c>
      <c r="Y26" s="13" t="str">
        <f>D92</f>
        <v/>
      </c>
      <c r="Z26" s="13" t="str">
        <f>D93</f>
        <v/>
      </c>
      <c r="AA26" s="6"/>
      <c r="AB26" s="152" t="s">
        <v>118</v>
      </c>
      <c r="AC26" s="152"/>
      <c r="AD26" s="152"/>
      <c r="AE26" s="6"/>
    </row>
    <row r="27" spans="1:31" ht="24.95" customHeight="1" x14ac:dyDescent="0.25">
      <c r="A27" s="153"/>
      <c r="B27" s="2" t="s">
        <v>6</v>
      </c>
      <c r="C27" s="2">
        <v>5</v>
      </c>
      <c r="D27" s="22" t="str" cm="1">
        <f t="array" ref="D27">IFERROR(INDEX(Данные!$B$1:$B$200,SMALL(IF(B27=Данные!$A$1:$A$200,ROW(Данные!$A$1:$A$200)),C27)),"")</f>
        <v>SHA01259</v>
      </c>
      <c r="F27" s="6"/>
      <c r="G27" s="151" t="s">
        <v>108</v>
      </c>
      <c r="H27" s="151"/>
      <c r="I27" s="6"/>
      <c r="J27" s="13" t="str">
        <f>D135</f>
        <v>SHA01203</v>
      </c>
      <c r="K27" s="13" t="str">
        <f>D136</f>
        <v>SHA01202</v>
      </c>
      <c r="L27" s="13" t="str">
        <f>D137</f>
        <v>SHA01201</v>
      </c>
      <c r="M27" s="6"/>
      <c r="N27" s="6"/>
      <c r="O27" s="6"/>
      <c r="P27" s="6"/>
      <c r="Q27" s="6"/>
      <c r="R27" s="6"/>
      <c r="S27" s="6"/>
      <c r="T27" s="13" t="str">
        <f>D106</f>
        <v/>
      </c>
      <c r="U27" s="13" t="str">
        <f>D107</f>
        <v/>
      </c>
      <c r="V27" s="13" t="str">
        <f>D108</f>
        <v/>
      </c>
      <c r="W27" s="6"/>
      <c r="X27" s="13" t="str">
        <f>D94</f>
        <v/>
      </c>
      <c r="Y27" s="13" t="str">
        <f>D95</f>
        <v/>
      </c>
      <c r="Z27" s="13" t="str">
        <f>D96</f>
        <v/>
      </c>
      <c r="AA27" s="6"/>
      <c r="AB27" s="13" t="str">
        <f>D156</f>
        <v>SHA01206</v>
      </c>
      <c r="AC27" s="13" t="str">
        <f>D157</f>
        <v>SHA01205</v>
      </c>
      <c r="AD27" s="13" t="str">
        <f>D158</f>
        <v/>
      </c>
      <c r="AE27" s="6"/>
    </row>
    <row r="28" spans="1:31" ht="24.95" customHeight="1" x14ac:dyDescent="0.25">
      <c r="A28" s="153"/>
      <c r="B28" s="2" t="s">
        <v>6</v>
      </c>
      <c r="C28" s="2">
        <v>6</v>
      </c>
      <c r="D28" s="22" t="str" cm="1">
        <f t="array" ref="D28">IFERROR(INDEX(Данные!$B$1:$B$200,SMALL(IF(B28=Данные!$A$1:$A$200,ROW(Данные!$A$1:$A$200)),C28)),"")</f>
        <v>SHA01258</v>
      </c>
      <c r="F28" s="6"/>
      <c r="G28" s="7" t="s">
        <v>106</v>
      </c>
      <c r="H28" s="16">
        <v>5</v>
      </c>
      <c r="I28" s="6"/>
      <c r="J28" s="13" t="str">
        <f>D138</f>
        <v/>
      </c>
      <c r="K28" s="13" t="str">
        <f>D139</f>
        <v/>
      </c>
      <c r="L28" s="13" t="str">
        <f>D140</f>
        <v/>
      </c>
      <c r="M28" s="6"/>
      <c r="N28" s="6"/>
      <c r="O28" s="6"/>
      <c r="P28" s="6"/>
      <c r="Q28" s="6"/>
      <c r="R28" s="6"/>
      <c r="S28" s="6"/>
      <c r="T28" s="13" t="str">
        <f>D109</f>
        <v/>
      </c>
      <c r="U28" s="13" t="str">
        <f>D110</f>
        <v/>
      </c>
      <c r="V28" s="13" t="str">
        <f>D111</f>
        <v/>
      </c>
      <c r="W28" s="6"/>
      <c r="X28" s="13" t="str">
        <f>D97</f>
        <v/>
      </c>
      <c r="Y28" s="13" t="str">
        <f>D98</f>
        <v/>
      </c>
      <c r="Z28" s="13" t="str">
        <f>D99</f>
        <v/>
      </c>
      <c r="AA28" s="6"/>
      <c r="AB28" s="13" t="str">
        <f>D159</f>
        <v/>
      </c>
      <c r="AC28" s="13" t="str">
        <f>D160</f>
        <v/>
      </c>
      <c r="AD28" s="13" t="str">
        <f>D161</f>
        <v/>
      </c>
      <c r="AE28" s="6"/>
    </row>
    <row r="29" spans="1:31" ht="24.95" customHeight="1" x14ac:dyDescent="0.25">
      <c r="A29" s="153"/>
      <c r="B29" s="2" t="s">
        <v>6</v>
      </c>
      <c r="C29" s="2">
        <v>7</v>
      </c>
      <c r="D29" s="22" t="str" cm="1">
        <f t="array" ref="D29">IFERROR(INDEX(Данные!$B$1:$B$200,SMALL(IF(B29=Данные!$A$1:$A$200,ROW(Данные!$A$1:$A$200)),C29)),"")</f>
        <v>SHA01257</v>
      </c>
      <c r="F29" s="6"/>
      <c r="G29" s="7" t="s">
        <v>107</v>
      </c>
      <c r="H29" s="17">
        <f>COUNTA(D59:D134)-COUNTBLANK(D59:D134)</f>
        <v>21</v>
      </c>
      <c r="I29" s="6"/>
      <c r="J29" s="13" t="str">
        <f>D141</f>
        <v/>
      </c>
      <c r="K29" s="13" t="str">
        <f>D142</f>
        <v/>
      </c>
      <c r="L29" s="13" t="str">
        <f>D143</f>
        <v/>
      </c>
      <c r="M29" s="6"/>
      <c r="N29" s="6"/>
      <c r="O29" s="6"/>
      <c r="P29" s="6"/>
      <c r="Q29" s="6"/>
      <c r="R29" s="6"/>
      <c r="S29" s="6"/>
      <c r="T29" s="13" t="str">
        <f>D112</f>
        <v/>
      </c>
      <c r="U29" s="13" t="str">
        <f>D113</f>
        <v/>
      </c>
      <c r="V29" s="13" t="str">
        <f>D114</f>
        <v/>
      </c>
      <c r="W29" s="6"/>
      <c r="X29" s="13" t="str">
        <f>D100</f>
        <v/>
      </c>
      <c r="Y29" s="13" t="str">
        <f>D101</f>
        <v/>
      </c>
      <c r="Z29" s="13" t="str">
        <f>D102</f>
        <v/>
      </c>
      <c r="AA29" s="6"/>
      <c r="AB29" s="13" t="str">
        <f>D162</f>
        <v/>
      </c>
      <c r="AC29" s="13" t="str">
        <f>D163</f>
        <v/>
      </c>
      <c r="AD29" s="13" t="str">
        <f>D164</f>
        <v/>
      </c>
      <c r="AE29" s="6"/>
    </row>
    <row r="30" spans="1:31" ht="24.95" customHeight="1" x14ac:dyDescent="0.25">
      <c r="A30" s="153"/>
      <c r="B30" s="2" t="s">
        <v>6</v>
      </c>
      <c r="C30" s="2">
        <v>8</v>
      </c>
      <c r="D30" s="22" t="str" cm="1">
        <f t="array" ref="D30">IFERROR(INDEX(Данные!$B$1:$B$200,SMALL(IF(B30=Данные!$A$1:$A$200,ROW(Данные!$A$1:$A$200)),C30)),"")</f>
        <v>SHA01256</v>
      </c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</row>
    <row r="31" spans="1:31" ht="24.95" customHeight="1" x14ac:dyDescent="0.25">
      <c r="A31" s="153"/>
      <c r="B31" s="2" t="s">
        <v>6</v>
      </c>
      <c r="C31" s="2">
        <v>9</v>
      </c>
      <c r="D31" s="22" t="str" cm="1">
        <f t="array" ref="D31">IFERROR(INDEX(Данные!$B$1:$B$200,SMALL(IF(B31=Данные!$A$1:$A$200,ROW(Данные!$A$1:$A$200)),C31)),"")</f>
        <v>SHA01255</v>
      </c>
    </row>
    <row r="32" spans="1:31" ht="24.95" customHeight="1" x14ac:dyDescent="0.25">
      <c r="A32" s="2" t="s">
        <v>134</v>
      </c>
      <c r="B32" s="2" t="s">
        <v>7</v>
      </c>
      <c r="C32" s="2">
        <v>1</v>
      </c>
      <c r="D32" s="22" t="str" cm="1">
        <f t="array" ref="D32">IFERROR(INDEX(Данные!$B$1:$B$200,SMALL(IF(B32=Данные!$A$1:$A$200,ROW(Данные!$A$1:$A$200)),C32)),"")</f>
        <v>SHA01254</v>
      </c>
    </row>
    <row r="33" spans="1:4" ht="24.95" customHeight="1" x14ac:dyDescent="0.25">
      <c r="A33" s="153" t="s">
        <v>130</v>
      </c>
      <c r="B33" s="2" t="s">
        <v>9</v>
      </c>
      <c r="C33" s="2">
        <v>1</v>
      </c>
      <c r="D33" s="22" t="str" cm="1">
        <f t="array" ref="D33">IFERROR(INDEX(Данные!$B$1:$B$200,SMALL(IF(B33=Данные!$A$1:$A$200,ROW(Данные!$A$1:$A$200)),C33)),"")</f>
        <v>SHA01253</v>
      </c>
    </row>
    <row r="34" spans="1:4" ht="24.95" customHeight="1" x14ac:dyDescent="0.25">
      <c r="A34" s="153"/>
      <c r="B34" s="2" t="s">
        <v>9</v>
      </c>
      <c r="C34" s="2">
        <v>2</v>
      </c>
      <c r="D34" s="22" t="str" cm="1">
        <f t="array" ref="D34">IFERROR(INDEX(Данные!$B$1:$B$200,SMALL(IF(B34=Данные!$A$1:$A$200,ROW(Данные!$A$1:$A$200)),C34)),"")</f>
        <v>SHA01252</v>
      </c>
    </row>
    <row r="35" spans="1:4" ht="17.100000000000001" customHeight="1" x14ac:dyDescent="0.25">
      <c r="A35" s="153"/>
      <c r="B35" s="2" t="s">
        <v>9</v>
      </c>
      <c r="C35" s="2">
        <v>3</v>
      </c>
      <c r="D35" s="22" t="str" cm="1">
        <f t="array" ref="D35">IFERROR(INDEX(Данные!$B$1:$B$200,SMALL(IF(B35=Данные!$A$1:$A$200,ROW(Данные!$A$1:$A$200)),C35)),"")</f>
        <v>SHA01251</v>
      </c>
    </row>
    <row r="36" spans="1:4" ht="17.100000000000001" customHeight="1" x14ac:dyDescent="0.25">
      <c r="A36" s="153"/>
      <c r="B36" s="2" t="s">
        <v>9</v>
      </c>
      <c r="C36" s="2">
        <v>4</v>
      </c>
      <c r="D36" s="22" t="str" cm="1">
        <f t="array" ref="D36">IFERROR(INDEX(Данные!$B$1:$B$200,SMALL(IF(B36=Данные!$A$1:$A$200,ROW(Данные!$A$1:$A$200)),C36)),"")</f>
        <v>SHA01250</v>
      </c>
    </row>
    <row r="37" spans="1:4" ht="17.100000000000001" customHeight="1" x14ac:dyDescent="0.25">
      <c r="A37" s="153"/>
      <c r="B37" s="2" t="s">
        <v>9</v>
      </c>
      <c r="C37" s="2">
        <v>5</v>
      </c>
      <c r="D37" s="22" t="str" cm="1">
        <f t="array" ref="D37">IFERROR(INDEX(Данные!$B$1:$B$200,SMALL(IF(B37=Данные!$A$1:$A$200,ROW(Данные!$A$1:$A$200)),C37)),"")</f>
        <v>SHA01249</v>
      </c>
    </row>
    <row r="38" spans="1:4" ht="17.100000000000001" customHeight="1" x14ac:dyDescent="0.25">
      <c r="A38" s="153"/>
      <c r="B38" s="2" t="s">
        <v>9</v>
      </c>
      <c r="C38" s="2">
        <v>6</v>
      </c>
      <c r="D38" s="22" t="str" cm="1">
        <f t="array" ref="D38">IFERROR(INDEX(Данные!$B$1:$B$200,SMALL(IF(B38=Данные!$A$1:$A$200,ROW(Данные!$A$1:$A$200)),C38)),"")</f>
        <v>SHA01248</v>
      </c>
    </row>
    <row r="39" spans="1:4" ht="17.100000000000001" customHeight="1" x14ac:dyDescent="0.25">
      <c r="A39" s="153"/>
      <c r="B39" s="2" t="s">
        <v>9</v>
      </c>
      <c r="C39" s="2">
        <v>7</v>
      </c>
      <c r="D39" s="22" t="str" cm="1">
        <f t="array" ref="D39">IFERROR(INDEX(Данные!$B$1:$B$200,SMALL(IF(B39=Данные!$A$1:$A$200,ROW(Данные!$A$1:$A$200)),C39)),"")</f>
        <v>SHA01247</v>
      </c>
    </row>
    <row r="40" spans="1:4" ht="17.100000000000001" customHeight="1" x14ac:dyDescent="0.25">
      <c r="A40" s="153"/>
      <c r="B40" s="2" t="s">
        <v>9</v>
      </c>
      <c r="C40" s="2">
        <v>8</v>
      </c>
      <c r="D40" s="22" t="str" cm="1">
        <f t="array" ref="D40">IFERROR(INDEX(Данные!$B$1:$B$200,SMALL(IF(B40=Данные!$A$1:$A$200,ROW(Данные!$A$1:$A$200)),C40)),"")</f>
        <v>SHA01246</v>
      </c>
    </row>
    <row r="41" spans="1:4" ht="17.100000000000001" customHeight="1" x14ac:dyDescent="0.25">
      <c r="A41" s="153" t="s">
        <v>131</v>
      </c>
      <c r="B41" s="2" t="s">
        <v>9</v>
      </c>
      <c r="C41" s="2">
        <v>9</v>
      </c>
      <c r="D41" s="22" t="str" cm="1">
        <f t="array" ref="D41">IFERROR(INDEX(Данные!$B$1:$B$200,SMALL(IF(B41=Данные!$A$1:$A$200,ROW(Данные!$A$1:$A$200)),C41)),"")</f>
        <v>SHA01245</v>
      </c>
    </row>
    <row r="42" spans="1:4" ht="17.100000000000001" customHeight="1" x14ac:dyDescent="0.25">
      <c r="A42" s="153"/>
      <c r="B42" s="2" t="s">
        <v>9</v>
      </c>
      <c r="C42" s="2">
        <v>10</v>
      </c>
      <c r="D42" s="22" t="str" cm="1">
        <f t="array" ref="D42">IFERROR(INDEX(Данные!$B$1:$B$200,SMALL(IF(B42=Данные!$A$1:$A$200,ROW(Данные!$A$1:$A$200)),C42)),"")</f>
        <v/>
      </c>
    </row>
    <row r="43" spans="1:4" ht="17.100000000000001" customHeight="1" x14ac:dyDescent="0.25">
      <c r="A43" s="153"/>
      <c r="B43" s="2" t="s">
        <v>9</v>
      </c>
      <c r="C43" s="2">
        <v>11</v>
      </c>
      <c r="D43" s="22" t="str" cm="1">
        <f t="array" ref="D43">IFERROR(INDEX(Данные!$B$1:$B$200,SMALL(IF(B43=Данные!$A$1:$A$200,ROW(Данные!$A$1:$A$200)),C43)),"")</f>
        <v/>
      </c>
    </row>
    <row r="44" spans="1:4" ht="17.100000000000001" customHeight="1" x14ac:dyDescent="0.25">
      <c r="A44" s="153" t="s">
        <v>2</v>
      </c>
      <c r="B44" s="2" t="s">
        <v>8</v>
      </c>
      <c r="C44" s="2">
        <v>1</v>
      </c>
      <c r="D44" s="22" t="str" cm="1">
        <f t="array" ref="D44">IFERROR(INDEX(Данные!$B$1:$B$200,SMALL(IF(B44=Данные!$A$1:$A$200,ROW(Данные!$A$1:$A$200)),C44)),"")</f>
        <v>SHA01244</v>
      </c>
    </row>
    <row r="45" spans="1:4" ht="17.100000000000001" customHeight="1" x14ac:dyDescent="0.25">
      <c r="A45" s="153"/>
      <c r="B45" s="2" t="s">
        <v>8</v>
      </c>
      <c r="C45" s="2">
        <v>2</v>
      </c>
      <c r="D45" s="22" t="str" cm="1">
        <f t="array" ref="D45">IFERROR(INDEX(Данные!$B$1:$B$200,SMALL(IF(B45=Данные!$A$1:$A$200,ROW(Данные!$A$1:$A$200)),C45)),"")</f>
        <v>SHA01243</v>
      </c>
    </row>
    <row r="46" spans="1:4" ht="17.100000000000001" customHeight="1" x14ac:dyDescent="0.25">
      <c r="A46" s="153"/>
      <c r="B46" s="2" t="s">
        <v>8</v>
      </c>
      <c r="C46" s="2">
        <v>3</v>
      </c>
      <c r="D46" s="22" t="str" cm="1">
        <f t="array" ref="D46">IFERROR(INDEX(Данные!$B$1:$B$200,SMALL(IF(B46=Данные!$A$1:$A$200,ROW(Данные!$A$1:$A$200)),C46)),"")</f>
        <v>SHA01242</v>
      </c>
    </row>
    <row r="47" spans="1:4" ht="17.100000000000001" customHeight="1" x14ac:dyDescent="0.25">
      <c r="A47" s="153"/>
      <c r="B47" s="2" t="s">
        <v>8</v>
      </c>
      <c r="C47" s="2">
        <v>4</v>
      </c>
      <c r="D47" s="22" t="str" cm="1">
        <f t="array" ref="D47">IFERROR(INDEX(Данные!$B$1:$B$200,SMALL(IF(B47=Данные!$A$1:$A$200,ROW(Данные!$A$1:$A$200)),C47)),"")</f>
        <v>SHA01238</v>
      </c>
    </row>
    <row r="48" spans="1:4" ht="17.100000000000001" customHeight="1" x14ac:dyDescent="0.25">
      <c r="A48" s="153"/>
      <c r="B48" s="2" t="s">
        <v>8</v>
      </c>
      <c r="C48" s="2">
        <v>5</v>
      </c>
      <c r="D48" s="22" t="str" cm="1">
        <f t="array" ref="D48">IFERROR(INDEX(Данные!$B$1:$B$200,SMALL(IF(B48=Данные!$A$1:$A$200,ROW(Данные!$A$1:$A$200)),C48)),"")</f>
        <v>SHA01237</v>
      </c>
    </row>
    <row r="49" spans="1:4" ht="17.100000000000001" customHeight="1" x14ac:dyDescent="0.25">
      <c r="A49" s="153"/>
      <c r="B49" s="2" t="s">
        <v>8</v>
      </c>
      <c r="C49" s="2">
        <v>6</v>
      </c>
      <c r="D49" s="22" t="str" cm="1">
        <f t="array" ref="D49">IFERROR(INDEX(Данные!$B$1:$B$200,SMALL(IF(B49=Данные!$A$1:$A$200,ROW(Данные!$A$1:$A$200)),C49)),"")</f>
        <v>SHA01236</v>
      </c>
    </row>
    <row r="50" spans="1:4" ht="17.100000000000001" customHeight="1" x14ac:dyDescent="0.25">
      <c r="A50" s="153"/>
      <c r="B50" s="2" t="s">
        <v>8</v>
      </c>
      <c r="C50" s="2">
        <v>7</v>
      </c>
      <c r="D50" s="22" t="str" cm="1">
        <f t="array" ref="D50">IFERROR(INDEX(Данные!$B$1:$B$200,SMALL(IF(B50=Данные!$A$1:$A$200,ROW(Данные!$A$1:$A$200)),C50)),"")</f>
        <v>SHA01235</v>
      </c>
    </row>
    <row r="51" spans="1:4" ht="17.100000000000001" customHeight="1" x14ac:dyDescent="0.25">
      <c r="A51" s="153"/>
      <c r="B51" s="2" t="s">
        <v>8</v>
      </c>
      <c r="C51" s="2">
        <v>8</v>
      </c>
      <c r="D51" s="22" t="str" cm="1">
        <f t="array" ref="D51">IFERROR(INDEX(Данные!$B$1:$B$200,SMALL(IF(B51=Данные!$A$1:$A$200,ROW(Данные!$A$1:$A$200)),C51)),"")</f>
        <v>SHA01234</v>
      </c>
    </row>
    <row r="52" spans="1:4" ht="17.100000000000001" customHeight="1" x14ac:dyDescent="0.25">
      <c r="A52" s="153"/>
      <c r="B52" s="2" t="s">
        <v>8</v>
      </c>
      <c r="C52" s="2">
        <v>9</v>
      </c>
      <c r="D52" s="22" t="str" cm="1">
        <f t="array" ref="D52">IFERROR(INDEX(Данные!$B$1:$B$200,SMALL(IF(B52=Данные!$A$1:$A$200,ROW(Данные!$A$1:$A$200)),C52)),"")</f>
        <v>SHA01233</v>
      </c>
    </row>
    <row r="53" spans="1:4" ht="17.100000000000001" customHeight="1" x14ac:dyDescent="0.25">
      <c r="A53" s="153"/>
      <c r="B53" s="2" t="s">
        <v>8</v>
      </c>
      <c r="C53" s="2">
        <v>10</v>
      </c>
      <c r="D53" s="22" t="str" cm="1">
        <f t="array" ref="D53">IFERROR(INDEX(Данные!$B$1:$B$200,SMALL(IF(B53=Данные!$A$1:$A$200,ROW(Данные!$A$1:$A$200)),C53)),"")</f>
        <v>SHA01232</v>
      </c>
    </row>
    <row r="54" spans="1:4" ht="17.100000000000001" customHeight="1" x14ac:dyDescent="0.25">
      <c r="A54" s="153"/>
      <c r="B54" s="2" t="s">
        <v>8</v>
      </c>
      <c r="C54" s="2">
        <v>11</v>
      </c>
      <c r="D54" s="22" t="str" cm="1">
        <f t="array" ref="D54">IFERROR(INDEX(Данные!$B$1:$B$200,SMALL(IF(B54=Данные!$A$1:$A$200,ROW(Данные!$A$1:$A$200)),C54)),"")</f>
        <v>SHA01231</v>
      </c>
    </row>
    <row r="55" spans="1:4" ht="17.100000000000001" customHeight="1" x14ac:dyDescent="0.25">
      <c r="A55" s="153"/>
      <c r="B55" s="2" t="s">
        <v>8</v>
      </c>
      <c r="C55" s="2">
        <v>12</v>
      </c>
      <c r="D55" s="22" t="str" cm="1">
        <f t="array" ref="D55">IFERROR(INDEX(Данные!$B$1:$B$200,SMALL(IF(B55=Данные!$A$1:$A$200,ROW(Данные!$A$1:$A$200)),C55)),"")</f>
        <v>SHA01230</v>
      </c>
    </row>
    <row r="56" spans="1:4" ht="17.100000000000001" customHeight="1" x14ac:dyDescent="0.25">
      <c r="A56" s="153"/>
      <c r="B56" s="2" t="s">
        <v>8</v>
      </c>
      <c r="C56" s="2">
        <v>13</v>
      </c>
      <c r="D56" s="22" t="str" cm="1">
        <f t="array" ref="D56">IFERROR(INDEX(Данные!$B$1:$B$200,SMALL(IF(B56=Данные!$A$1:$A$200,ROW(Данные!$A$1:$A$200)),C56)),"")</f>
        <v/>
      </c>
    </row>
    <row r="57" spans="1:4" ht="17.100000000000001" customHeight="1" x14ac:dyDescent="0.25">
      <c r="A57" s="153"/>
      <c r="B57" s="2" t="s">
        <v>8</v>
      </c>
      <c r="C57" s="2">
        <v>14</v>
      </c>
      <c r="D57" s="22" t="str" cm="1">
        <f t="array" ref="D57">IFERROR(INDEX(Данные!$B$1:$B$200,SMALL(IF(B57=Данные!$A$1:$A$200,ROW(Данные!$A$1:$A$200)),C57)),"")</f>
        <v/>
      </c>
    </row>
    <row r="58" spans="1:4" ht="17.100000000000001" customHeight="1" x14ac:dyDescent="0.25">
      <c r="A58" s="2" t="s">
        <v>102</v>
      </c>
      <c r="B58" s="2" t="s">
        <v>101</v>
      </c>
      <c r="C58" s="2">
        <v>1</v>
      </c>
      <c r="D58" s="22" t="str" cm="1">
        <f t="array" ref="D58">IFERROR(INDEX(Данные!$B$1:$B$200,SMALL(IF(B58=Данные!$A$1:$A$200,ROW(Данные!$A$1:$A$200)),C58)),"")</f>
        <v>SHA01229</v>
      </c>
    </row>
    <row r="59" spans="1:4" ht="17.100000000000001" customHeight="1" x14ac:dyDescent="0.25">
      <c r="A59" s="153" t="s">
        <v>114</v>
      </c>
      <c r="B59" s="2" t="s">
        <v>11</v>
      </c>
      <c r="C59" s="2">
        <v>1</v>
      </c>
      <c r="D59" s="22" t="str" cm="1">
        <f t="array" ref="D59">IFERROR(INDEX(Данные!$B$1:$B$200,SMALL(IF(B59=Данные!$A$1:$A$200,ROW(Данные!$A$1:$A$200)),C59)),"")</f>
        <v>SHA01241</v>
      </c>
    </row>
    <row r="60" spans="1:4" ht="17.100000000000001" customHeight="1" x14ac:dyDescent="0.25">
      <c r="A60" s="153"/>
      <c r="B60" s="2" t="s">
        <v>11</v>
      </c>
      <c r="C60" s="2">
        <v>2</v>
      </c>
      <c r="D60" s="22" t="str" cm="1">
        <f t="array" ref="D60">IFERROR(INDEX(Данные!$B$1:$B$200,SMALL(IF(B60=Данные!$A$1:$A$200,ROW(Данные!$A$1:$A$200)),C60)),"")</f>
        <v>SHA01240</v>
      </c>
    </row>
    <row r="61" spans="1:4" ht="17.100000000000001" customHeight="1" x14ac:dyDescent="0.25">
      <c r="A61" s="153"/>
      <c r="B61" s="2" t="s">
        <v>11</v>
      </c>
      <c r="C61" s="2">
        <v>3</v>
      </c>
      <c r="D61" s="22" t="str" cm="1">
        <f t="array" ref="D61">IFERROR(INDEX(Данные!$B$1:$B$200,SMALL(IF(B61=Данные!$A$1:$A$200,ROW(Данные!$A$1:$A$200)),C61)),"")</f>
        <v>SHA01239</v>
      </c>
    </row>
    <row r="62" spans="1:4" ht="17.100000000000001" customHeight="1" x14ac:dyDescent="0.25">
      <c r="A62" s="153"/>
      <c r="B62" s="2" t="s">
        <v>11</v>
      </c>
      <c r="C62" s="2">
        <v>4</v>
      </c>
      <c r="D62" s="22" t="str" cm="1">
        <f t="array" ref="D62">IFERROR(INDEX(Данные!$B$1:$B$200,SMALL(IF(B62=Данные!$A$1:$A$200,ROW(Данные!$A$1:$A$200)),C62)),"")</f>
        <v>SHA01228</v>
      </c>
    </row>
    <row r="63" spans="1:4" ht="17.100000000000001" customHeight="1" x14ac:dyDescent="0.25">
      <c r="A63" s="153"/>
      <c r="B63" s="2" t="s">
        <v>11</v>
      </c>
      <c r="C63" s="2">
        <v>5</v>
      </c>
      <c r="D63" s="22" t="str" cm="1">
        <f t="array" ref="D63">IFERROR(INDEX(Данные!$B$1:$B$200,SMALL(IF(B63=Данные!$A$1:$A$200,ROW(Данные!$A$1:$A$200)),C63)),"")</f>
        <v>SHA01227</v>
      </c>
    </row>
    <row r="64" spans="1:4" ht="17.100000000000001" customHeight="1" x14ac:dyDescent="0.25">
      <c r="A64" s="153"/>
      <c r="B64" s="2" t="s">
        <v>11</v>
      </c>
      <c r="C64" s="2">
        <v>6</v>
      </c>
      <c r="D64" s="22" t="str" cm="1">
        <f t="array" ref="D64">IFERROR(INDEX(Данные!$B$1:$B$200,SMALL(IF(B64=Данные!$A$1:$A$200,ROW(Данные!$A$1:$A$200)),C64)),"")</f>
        <v>SHA01226</v>
      </c>
    </row>
    <row r="65" spans="1:4" ht="17.100000000000001" customHeight="1" x14ac:dyDescent="0.25">
      <c r="A65" s="153"/>
      <c r="B65" s="2" t="s">
        <v>11</v>
      </c>
      <c r="C65" s="2">
        <v>7</v>
      </c>
      <c r="D65" s="22" t="str" cm="1">
        <f t="array" ref="D65">IFERROR(INDEX(Данные!$B$1:$B$200,SMALL(IF(B65=Данные!$A$1:$A$200,ROW(Данные!$A$1:$A$200)),C65)),"")</f>
        <v>SHA01225</v>
      </c>
    </row>
    <row r="66" spans="1:4" ht="17.100000000000001" customHeight="1" x14ac:dyDescent="0.25">
      <c r="A66" s="153"/>
      <c r="B66" s="2" t="s">
        <v>11</v>
      </c>
      <c r="C66" s="2">
        <v>8</v>
      </c>
      <c r="D66" s="22" t="str" cm="1">
        <f t="array" ref="D66">IFERROR(INDEX(Данные!$B$1:$B$200,SMALL(IF(B66=Данные!$A$1:$A$200,ROW(Данные!$A$1:$A$200)),C66)),"")</f>
        <v>SHA01224</v>
      </c>
    </row>
    <row r="67" spans="1:4" ht="17.100000000000001" customHeight="1" x14ac:dyDescent="0.25">
      <c r="A67" s="153"/>
      <c r="B67" s="2" t="s">
        <v>11</v>
      </c>
      <c r="C67" s="2">
        <v>9</v>
      </c>
      <c r="D67" s="22" t="str" cm="1">
        <f t="array" ref="D67">IFERROR(INDEX(Данные!$B$1:$B$200,SMALL(IF(B67=Данные!$A$1:$A$200,ROW(Данные!$A$1:$A$200)),C67)),"")</f>
        <v>SHA01223</v>
      </c>
    </row>
    <row r="68" spans="1:4" ht="17.100000000000001" customHeight="1" x14ac:dyDescent="0.25">
      <c r="A68" s="153"/>
      <c r="B68" s="2" t="s">
        <v>11</v>
      </c>
      <c r="C68" s="2">
        <v>10</v>
      </c>
      <c r="D68" s="22" t="str" cm="1">
        <f t="array" ref="D68">IFERROR(INDEX(Данные!$B$1:$B$200,SMALL(IF(B68=Данные!$A$1:$A$200,ROW(Данные!$A$1:$A$200)),C68)),"")</f>
        <v>SHA01222</v>
      </c>
    </row>
    <row r="69" spans="1:4" ht="17.100000000000001" customHeight="1" x14ac:dyDescent="0.25">
      <c r="A69" s="153"/>
      <c r="B69" s="2" t="s">
        <v>11</v>
      </c>
      <c r="C69" s="2">
        <v>11</v>
      </c>
      <c r="D69" s="22" t="str" cm="1">
        <f t="array" ref="D69">IFERROR(INDEX(Данные!$B$1:$B$200,SMALL(IF(B69=Данные!$A$1:$A$200,ROW(Данные!$A$1:$A$200)),C69)),"")</f>
        <v/>
      </c>
    </row>
    <row r="70" spans="1:4" ht="17.100000000000001" customHeight="1" x14ac:dyDescent="0.25">
      <c r="A70" s="153"/>
      <c r="B70" s="2" t="s">
        <v>11</v>
      </c>
      <c r="C70" s="2">
        <v>12</v>
      </c>
      <c r="D70" s="22" t="str" cm="1">
        <f t="array" ref="D70">IFERROR(INDEX(Данные!$B$1:$B$200,SMALL(IF(B70=Данные!$A$1:$A$200,ROW(Данные!$A$1:$A$200)),C70)),"")</f>
        <v/>
      </c>
    </row>
    <row r="71" spans="1:4" ht="17.100000000000001" customHeight="1" x14ac:dyDescent="0.25">
      <c r="A71" s="153" t="s">
        <v>119</v>
      </c>
      <c r="B71" s="2" t="s">
        <v>109</v>
      </c>
      <c r="C71" s="2">
        <v>1</v>
      </c>
      <c r="D71" s="22" t="str" cm="1">
        <f t="array" ref="D71">IFERROR(INDEX(Данные!$B$1:$B$200,SMALL(IF(B71=Данные!$A$1:$A$200,ROW(Данные!$A$1:$A$200)),C71)),"")</f>
        <v>SHA01221</v>
      </c>
    </row>
    <row r="72" spans="1:4" ht="17.100000000000001" customHeight="1" x14ac:dyDescent="0.25">
      <c r="A72" s="153"/>
      <c r="B72" s="2" t="s">
        <v>109</v>
      </c>
      <c r="C72" s="2">
        <v>2</v>
      </c>
      <c r="D72" s="22" t="str" cm="1">
        <f t="array" ref="D72">IFERROR(INDEX(Данные!$B$1:$B$200,SMALL(IF(B72=Данные!$A$1:$A$200,ROW(Данные!$A$1:$A$200)),C72)),"")</f>
        <v>SHA01220</v>
      </c>
    </row>
    <row r="73" spans="1:4" ht="17.100000000000001" customHeight="1" x14ac:dyDescent="0.25">
      <c r="A73" s="153"/>
      <c r="B73" s="2" t="s">
        <v>109</v>
      </c>
      <c r="C73" s="2">
        <v>3</v>
      </c>
      <c r="D73" s="22" t="str" cm="1">
        <f t="array" ref="D73">IFERROR(INDEX(Данные!$B$1:$B$200,SMALL(IF(B73=Данные!$A$1:$A$200,ROW(Данные!$A$1:$A$200)),C73)),"")</f>
        <v/>
      </c>
    </row>
    <row r="74" spans="1:4" ht="17.100000000000001" customHeight="1" x14ac:dyDescent="0.25">
      <c r="A74" s="153"/>
      <c r="B74" s="2" t="s">
        <v>109</v>
      </c>
      <c r="C74" s="2">
        <v>4</v>
      </c>
      <c r="D74" s="22" t="str" cm="1">
        <f t="array" ref="D74">IFERROR(INDEX(Данные!$B$1:$B$200,SMALL(IF(B74=Данные!$A$1:$A$200,ROW(Данные!$A$1:$A$200)),C74)),"")</f>
        <v/>
      </c>
    </row>
    <row r="75" spans="1:4" ht="17.100000000000001" customHeight="1" x14ac:dyDescent="0.25">
      <c r="A75" s="153"/>
      <c r="B75" s="2" t="s">
        <v>109</v>
      </c>
      <c r="C75" s="2">
        <v>5</v>
      </c>
      <c r="D75" s="22" t="str" cm="1">
        <f t="array" ref="D75">IFERROR(INDEX(Данные!$B$1:$B$200,SMALL(IF(B75=Данные!$A$1:$A$200,ROW(Данные!$A$1:$A$200)),C75)),"")</f>
        <v/>
      </c>
    </row>
    <row r="76" spans="1:4" ht="17.100000000000001" customHeight="1" x14ac:dyDescent="0.25">
      <c r="A76" s="153"/>
      <c r="B76" s="2" t="s">
        <v>109</v>
      </c>
      <c r="C76" s="2">
        <v>6</v>
      </c>
      <c r="D76" s="22" t="str" cm="1">
        <f t="array" ref="D76">IFERROR(INDEX(Данные!$B$1:$B$200,SMALL(IF(B76=Данные!$A$1:$A$200,ROW(Данные!$A$1:$A$200)),C76)),"")</f>
        <v/>
      </c>
    </row>
    <row r="77" spans="1:4" ht="17.100000000000001" customHeight="1" x14ac:dyDescent="0.25">
      <c r="A77" s="153"/>
      <c r="B77" s="2" t="s">
        <v>109</v>
      </c>
      <c r="C77" s="2">
        <v>7</v>
      </c>
      <c r="D77" s="22" t="str" cm="1">
        <f t="array" ref="D77">IFERROR(INDEX(Данные!$B$1:$B$200,SMALL(IF(B77=Данные!$A$1:$A$200,ROW(Данные!$A$1:$A$200)),C77)),"")</f>
        <v/>
      </c>
    </row>
    <row r="78" spans="1:4" ht="17.100000000000001" customHeight="1" x14ac:dyDescent="0.25">
      <c r="A78" s="153"/>
      <c r="B78" s="2" t="s">
        <v>109</v>
      </c>
      <c r="C78" s="2">
        <v>8</v>
      </c>
      <c r="D78" s="22" t="str" cm="1">
        <f t="array" ref="D78">IFERROR(INDEX(Данные!$B$1:$B$200,SMALL(IF(B78=Данные!$A$1:$A$200,ROW(Данные!$A$1:$A$200)),C78)),"")</f>
        <v/>
      </c>
    </row>
    <row r="79" spans="1:4" ht="17.100000000000001" customHeight="1" x14ac:dyDescent="0.25">
      <c r="A79" s="153"/>
      <c r="B79" s="2" t="s">
        <v>109</v>
      </c>
      <c r="C79" s="2">
        <v>9</v>
      </c>
      <c r="D79" s="22" t="str" cm="1">
        <f t="array" ref="D79">IFERROR(INDEX(Данные!$B$1:$B$200,SMALL(IF(B79=Данные!$A$1:$A$200,ROW(Данные!$A$1:$A$200)),C79)),"")</f>
        <v/>
      </c>
    </row>
    <row r="80" spans="1:4" ht="17.100000000000001" customHeight="1" x14ac:dyDescent="0.25">
      <c r="A80" s="153"/>
      <c r="B80" s="2" t="s">
        <v>109</v>
      </c>
      <c r="C80" s="2">
        <v>10</v>
      </c>
      <c r="D80" s="22" t="str" cm="1">
        <f t="array" ref="D80">IFERROR(INDEX(Данные!$B$1:$B$200,SMALL(IF(B80=Данные!$A$1:$A$200,ROW(Данные!$A$1:$A$200)),C80)),"")</f>
        <v/>
      </c>
    </row>
    <row r="81" spans="1:4" ht="17.100000000000001" customHeight="1" x14ac:dyDescent="0.25">
      <c r="A81" s="153"/>
      <c r="B81" s="2" t="s">
        <v>109</v>
      </c>
      <c r="C81" s="2">
        <v>11</v>
      </c>
      <c r="D81" s="22" t="str" cm="1">
        <f t="array" ref="D81">IFERROR(INDEX(Данные!$B$1:$B$200,SMALL(IF(B81=Данные!$A$1:$A$200,ROW(Данные!$A$1:$A$200)),C81)),"")</f>
        <v/>
      </c>
    </row>
    <row r="82" spans="1:4" ht="17.100000000000001" customHeight="1" x14ac:dyDescent="0.25">
      <c r="A82" s="153"/>
      <c r="B82" s="2" t="s">
        <v>109</v>
      </c>
      <c r="C82" s="2">
        <v>12</v>
      </c>
      <c r="D82" s="22" t="str" cm="1">
        <f t="array" ref="D82">IFERROR(INDEX(Данные!$B$1:$B$200,SMALL(IF(B82=Данные!$A$1:$A$200,ROW(Данные!$A$1:$A$200)),C82)),"")</f>
        <v/>
      </c>
    </row>
    <row r="83" spans="1:4" ht="17.100000000000001" customHeight="1" x14ac:dyDescent="0.25">
      <c r="A83" s="156" t="s">
        <v>122</v>
      </c>
      <c r="B83" s="2" t="s">
        <v>136</v>
      </c>
      <c r="C83" s="2">
        <v>1</v>
      </c>
      <c r="D83" s="22" t="str" cm="1">
        <f t="array" ref="D83">IFERROR(INDEX(Данные!$B$1:$B$200,SMALL(IF(B83=Данные!$A$1:$A$200,ROW(Данные!$A$1:$A$200)),C83)),"")</f>
        <v>SHA01213</v>
      </c>
    </row>
    <row r="84" spans="1:4" ht="17.100000000000001" customHeight="1" x14ac:dyDescent="0.25">
      <c r="A84" s="157"/>
      <c r="B84" s="2" t="s">
        <v>136</v>
      </c>
      <c r="C84" s="2">
        <v>2</v>
      </c>
      <c r="D84" s="22" t="str" cm="1">
        <f t="array" ref="D84">IFERROR(INDEX(Данные!$B$1:$B$200,SMALL(IF(B84=Данные!$A$1:$A$200,ROW(Данные!$A$1:$A$200)),C84)),"")</f>
        <v/>
      </c>
    </row>
    <row r="85" spans="1:4" ht="17.100000000000001" customHeight="1" x14ac:dyDescent="0.25">
      <c r="A85" s="157"/>
      <c r="B85" s="2" t="s">
        <v>136</v>
      </c>
      <c r="C85" s="2">
        <v>3</v>
      </c>
      <c r="D85" s="22" t="str" cm="1">
        <f t="array" ref="D85">IFERROR(INDEX(Данные!$B$1:$B$200,SMALL(IF(B85=Данные!$A$1:$A$200,ROW(Данные!$A$1:$A$200)),C85)),"")</f>
        <v/>
      </c>
    </row>
    <row r="86" spans="1:4" ht="17.100000000000001" customHeight="1" x14ac:dyDescent="0.25">
      <c r="A86" s="158"/>
      <c r="B86" s="2" t="s">
        <v>136</v>
      </c>
      <c r="C86" s="2">
        <v>4</v>
      </c>
      <c r="D86" s="22" t="str" cm="1">
        <f t="array" ref="D86">IFERROR(INDEX(Данные!$B$1:$B$200,SMALL(IF(B86=Данные!$A$1:$A$200,ROW(Данные!$A$1:$A$200)),C86)),"")</f>
        <v/>
      </c>
    </row>
    <row r="87" spans="1:4" ht="17.100000000000001" customHeight="1" x14ac:dyDescent="0.25">
      <c r="A87" s="156" t="s">
        <v>121</v>
      </c>
      <c r="B87" s="2" t="s">
        <v>135</v>
      </c>
      <c r="C87" s="2">
        <v>1</v>
      </c>
      <c r="D87" s="22" t="str" cm="1">
        <f t="array" ref="D87">IFERROR(INDEX(Данные!$B$1:$B$200,SMALL(IF(B87=Данные!$A$1:$A$200,ROW(Данные!$A$1:$A$200)),C87)),"")</f>
        <v>SHA01211</v>
      </c>
    </row>
    <row r="88" spans="1:4" ht="17.100000000000001" customHeight="1" x14ac:dyDescent="0.25">
      <c r="A88" s="157"/>
      <c r="B88" s="2" t="s">
        <v>135</v>
      </c>
      <c r="C88" s="2">
        <v>2</v>
      </c>
      <c r="D88" s="22" t="str" cm="1">
        <f t="array" ref="D88">IFERROR(INDEX(Данные!$B$1:$B$200,SMALL(IF(B88=Данные!$A$1:$A$200,ROW(Данные!$A$1:$A$200)),C88)),"")</f>
        <v/>
      </c>
    </row>
    <row r="89" spans="1:4" ht="17.100000000000001" customHeight="1" x14ac:dyDescent="0.25">
      <c r="A89" s="157"/>
      <c r="B89" s="2" t="s">
        <v>135</v>
      </c>
      <c r="C89" s="2">
        <v>3</v>
      </c>
      <c r="D89" s="22" t="str" cm="1">
        <f t="array" ref="D89">IFERROR(INDEX(Данные!$B$1:$B$200,SMALL(IF(B89=Данные!$A$1:$A$200,ROW(Данные!$A$1:$A$200)),C89)),"")</f>
        <v/>
      </c>
    </row>
    <row r="90" spans="1:4" ht="17.100000000000001" customHeight="1" x14ac:dyDescent="0.25">
      <c r="A90" s="158"/>
      <c r="B90" s="2" t="s">
        <v>135</v>
      </c>
      <c r="C90" s="2">
        <v>4</v>
      </c>
      <c r="D90" s="22" t="str" cm="1">
        <f t="array" ref="D90">IFERROR(INDEX(Данные!$B$1:$B$200,SMALL(IF(B90=Данные!$A$1:$A$200,ROW(Данные!$A$1:$A$200)),C90)),"")</f>
        <v/>
      </c>
    </row>
    <row r="91" spans="1:4" ht="17.100000000000001" customHeight="1" x14ac:dyDescent="0.25">
      <c r="A91" s="153" t="s">
        <v>115</v>
      </c>
      <c r="B91" s="2" t="s">
        <v>137</v>
      </c>
      <c r="C91" s="2">
        <v>1</v>
      </c>
      <c r="D91" s="22" t="str" cm="1">
        <f t="array" ref="D91">IFERROR(INDEX(Данные!$B$1:$B$200,SMALL(IF(B91=Данные!$A$1:$A$200,ROW(Данные!$A$1:$A$200)),C91)),"")</f>
        <v>SHA01215</v>
      </c>
    </row>
    <row r="92" spans="1:4" ht="17.100000000000001" customHeight="1" x14ac:dyDescent="0.25">
      <c r="A92" s="153"/>
      <c r="B92" s="2" t="s">
        <v>137</v>
      </c>
      <c r="C92" s="2">
        <v>2</v>
      </c>
      <c r="D92" s="22" t="str" cm="1">
        <f t="array" ref="D92">IFERROR(INDEX(Данные!$B$1:$B$200,SMALL(IF(B92=Данные!$A$1:$A$200,ROW(Данные!$A$1:$A$200)),C92)),"")</f>
        <v/>
      </c>
    </row>
    <row r="93" spans="1:4" ht="17.100000000000001" customHeight="1" x14ac:dyDescent="0.25">
      <c r="A93" s="153"/>
      <c r="B93" s="2" t="s">
        <v>137</v>
      </c>
      <c r="C93" s="2">
        <v>3</v>
      </c>
      <c r="D93" s="22" t="str" cm="1">
        <f t="array" ref="D93">IFERROR(INDEX(Данные!$B$1:$B$200,SMALL(IF(B93=Данные!$A$1:$A$200,ROW(Данные!$A$1:$A$200)),C93)),"")</f>
        <v/>
      </c>
    </row>
    <row r="94" spans="1:4" ht="17.100000000000001" customHeight="1" x14ac:dyDescent="0.25">
      <c r="A94" s="153"/>
      <c r="B94" s="2" t="s">
        <v>137</v>
      </c>
      <c r="C94" s="2">
        <v>4</v>
      </c>
      <c r="D94" s="22" t="str" cm="1">
        <f t="array" ref="D94">IFERROR(INDEX(Данные!$B$1:$B$200,SMALL(IF(B94=Данные!$A$1:$A$200,ROW(Данные!$A$1:$A$200)),C94)),"")</f>
        <v/>
      </c>
    </row>
    <row r="95" spans="1:4" ht="17.100000000000001" customHeight="1" x14ac:dyDescent="0.25">
      <c r="A95" s="153"/>
      <c r="B95" s="2" t="s">
        <v>137</v>
      </c>
      <c r="C95" s="2">
        <v>5</v>
      </c>
      <c r="D95" s="22" t="str" cm="1">
        <f t="array" ref="D95">IFERROR(INDEX(Данные!$B$1:$B$200,SMALL(IF(B95=Данные!$A$1:$A$200,ROW(Данные!$A$1:$A$200)),C95)),"")</f>
        <v/>
      </c>
    </row>
    <row r="96" spans="1:4" ht="17.100000000000001" customHeight="1" x14ac:dyDescent="0.25">
      <c r="A96" s="153"/>
      <c r="B96" s="2" t="s">
        <v>137</v>
      </c>
      <c r="C96" s="2">
        <v>6</v>
      </c>
      <c r="D96" s="22" t="str" cm="1">
        <f t="array" ref="D96">IFERROR(INDEX(Данные!$B$1:$B$200,SMALL(IF(B96=Данные!$A$1:$A$200,ROW(Данные!$A$1:$A$200)),C96)),"")</f>
        <v/>
      </c>
    </row>
    <row r="97" spans="1:4" ht="17.100000000000001" customHeight="1" x14ac:dyDescent="0.25">
      <c r="A97" s="153"/>
      <c r="B97" s="2" t="s">
        <v>137</v>
      </c>
      <c r="C97" s="2">
        <v>7</v>
      </c>
      <c r="D97" s="22" t="str" cm="1">
        <f t="array" ref="D97">IFERROR(INDEX(Данные!$B$1:$B$200,SMALL(IF(B97=Данные!$A$1:$A$200,ROW(Данные!$A$1:$A$200)),C97)),"")</f>
        <v/>
      </c>
    </row>
    <row r="98" spans="1:4" ht="17.100000000000001" customHeight="1" x14ac:dyDescent="0.25">
      <c r="A98" s="153"/>
      <c r="B98" s="2" t="s">
        <v>137</v>
      </c>
      <c r="C98" s="2">
        <v>8</v>
      </c>
      <c r="D98" s="22" t="str" cm="1">
        <f t="array" ref="D98">IFERROR(INDEX(Данные!$B$1:$B$200,SMALL(IF(B98=Данные!$A$1:$A$200,ROW(Данные!$A$1:$A$200)),C98)),"")</f>
        <v/>
      </c>
    </row>
    <row r="99" spans="1:4" ht="17.100000000000001" customHeight="1" x14ac:dyDescent="0.25">
      <c r="A99" s="153"/>
      <c r="B99" s="2" t="s">
        <v>137</v>
      </c>
      <c r="C99" s="2">
        <v>9</v>
      </c>
      <c r="D99" s="22" t="str" cm="1">
        <f t="array" ref="D99">IFERROR(INDEX(Данные!$B$1:$B$200,SMALL(IF(B99=Данные!$A$1:$A$200,ROW(Данные!$A$1:$A$200)),C99)),"")</f>
        <v/>
      </c>
    </row>
    <row r="100" spans="1:4" ht="17.100000000000001" customHeight="1" x14ac:dyDescent="0.25">
      <c r="A100" s="153"/>
      <c r="B100" s="2" t="s">
        <v>137</v>
      </c>
      <c r="C100" s="2">
        <v>10</v>
      </c>
      <c r="D100" s="22" t="str" cm="1">
        <f t="array" ref="D100">IFERROR(INDEX(Данные!$B$1:$B$200,SMALL(IF(B100=Данные!$A$1:$A$200,ROW(Данные!$A$1:$A$200)),C100)),"")</f>
        <v/>
      </c>
    </row>
    <row r="101" spans="1:4" ht="17.100000000000001" customHeight="1" x14ac:dyDescent="0.25">
      <c r="A101" s="153"/>
      <c r="B101" s="2" t="s">
        <v>137</v>
      </c>
      <c r="C101" s="2">
        <v>11</v>
      </c>
      <c r="D101" s="22" t="str" cm="1">
        <f t="array" ref="D101">IFERROR(INDEX(Данные!$B$1:$B$200,SMALL(IF(B101=Данные!$A$1:$A$200,ROW(Данные!$A$1:$A$200)),C101)),"")</f>
        <v/>
      </c>
    </row>
    <row r="102" spans="1:4" ht="17.100000000000001" customHeight="1" x14ac:dyDescent="0.25">
      <c r="A102" s="153"/>
      <c r="B102" s="2" t="s">
        <v>137</v>
      </c>
      <c r="C102" s="2">
        <v>12</v>
      </c>
      <c r="D102" s="22" t="str" cm="1">
        <f t="array" ref="D102">IFERROR(INDEX(Данные!$B$1:$B$200,SMALL(IF(B102=Данные!$A$1:$A$200,ROW(Данные!$A$1:$A$200)),C102)),"")</f>
        <v/>
      </c>
    </row>
    <row r="103" spans="1:4" ht="17.100000000000001" customHeight="1" x14ac:dyDescent="0.25">
      <c r="A103" s="153" t="s">
        <v>120</v>
      </c>
      <c r="B103" s="2" t="s">
        <v>138</v>
      </c>
      <c r="C103" s="2">
        <v>1</v>
      </c>
      <c r="D103" s="22" t="str" cm="1">
        <f t="array" ref="D103">IFERROR(INDEX(Данные!$B$1:$B$200,SMALL(IF(B103=Данные!$A$1:$A$200,ROW(Данные!$A$1:$A$200)),C103)),"")</f>
        <v>SHA01214</v>
      </c>
    </row>
    <row r="104" spans="1:4" ht="17.100000000000001" customHeight="1" x14ac:dyDescent="0.25">
      <c r="A104" s="153"/>
      <c r="B104" s="2" t="s">
        <v>138</v>
      </c>
      <c r="C104" s="2">
        <v>2</v>
      </c>
      <c r="D104" s="22" t="str" cm="1">
        <f t="array" ref="D104">IFERROR(INDEX(Данные!$B$1:$B$200,SMALL(IF(B104=Данные!$A$1:$A$200,ROW(Данные!$A$1:$A$200)),C104)),"")</f>
        <v/>
      </c>
    </row>
    <row r="105" spans="1:4" ht="17.100000000000001" customHeight="1" x14ac:dyDescent="0.25">
      <c r="A105" s="153"/>
      <c r="B105" s="2" t="s">
        <v>138</v>
      </c>
      <c r="C105" s="2">
        <v>3</v>
      </c>
      <c r="D105" s="22" t="str" cm="1">
        <f t="array" ref="D105">IFERROR(INDEX(Данные!$B$1:$B$200,SMALL(IF(B105=Данные!$A$1:$A$200,ROW(Данные!$A$1:$A$200)),C105)),"")</f>
        <v/>
      </c>
    </row>
    <row r="106" spans="1:4" ht="17.100000000000001" customHeight="1" x14ac:dyDescent="0.25">
      <c r="A106" s="153"/>
      <c r="B106" s="2" t="s">
        <v>138</v>
      </c>
      <c r="C106" s="2">
        <v>4</v>
      </c>
      <c r="D106" s="22" t="str" cm="1">
        <f t="array" ref="D106">IFERROR(INDEX(Данные!$B$1:$B$200,SMALL(IF(B106=Данные!$A$1:$A$200,ROW(Данные!$A$1:$A$200)),C106)),"")</f>
        <v/>
      </c>
    </row>
    <row r="107" spans="1:4" ht="17.100000000000001" customHeight="1" x14ac:dyDescent="0.25">
      <c r="A107" s="153"/>
      <c r="B107" s="2" t="s">
        <v>138</v>
      </c>
      <c r="C107" s="2">
        <v>5</v>
      </c>
      <c r="D107" s="22" t="str" cm="1">
        <f t="array" ref="D107">IFERROR(INDEX(Данные!$B$1:$B$200,SMALL(IF(B107=Данные!$A$1:$A$200,ROW(Данные!$A$1:$A$200)),C107)),"")</f>
        <v/>
      </c>
    </row>
    <row r="108" spans="1:4" ht="17.100000000000001" customHeight="1" x14ac:dyDescent="0.25">
      <c r="A108" s="153"/>
      <c r="B108" s="2" t="s">
        <v>138</v>
      </c>
      <c r="C108" s="2">
        <v>6</v>
      </c>
      <c r="D108" s="22" t="str" cm="1">
        <f t="array" ref="D108">IFERROR(INDEX(Данные!$B$1:$B$200,SMALL(IF(B108=Данные!$A$1:$A$200,ROW(Данные!$A$1:$A$200)),C108)),"")</f>
        <v/>
      </c>
    </row>
    <row r="109" spans="1:4" ht="17.100000000000001" customHeight="1" x14ac:dyDescent="0.25">
      <c r="A109" s="153"/>
      <c r="B109" s="2" t="s">
        <v>138</v>
      </c>
      <c r="C109" s="2">
        <v>7</v>
      </c>
      <c r="D109" s="22" t="str" cm="1">
        <f t="array" ref="D109">IFERROR(INDEX(Данные!$B$1:$B$200,SMALL(IF(B109=Данные!$A$1:$A$200,ROW(Данные!$A$1:$A$200)),C109)),"")</f>
        <v/>
      </c>
    </row>
    <row r="110" spans="1:4" ht="17.100000000000001" customHeight="1" x14ac:dyDescent="0.25">
      <c r="A110" s="153"/>
      <c r="B110" s="2" t="s">
        <v>138</v>
      </c>
      <c r="C110" s="2">
        <v>8</v>
      </c>
      <c r="D110" s="22" t="str" cm="1">
        <f t="array" ref="D110">IFERROR(INDEX(Данные!$B$1:$B$200,SMALL(IF(B110=Данные!$A$1:$A$200,ROW(Данные!$A$1:$A$200)),C110)),"")</f>
        <v/>
      </c>
    </row>
    <row r="111" spans="1:4" ht="17.100000000000001" customHeight="1" x14ac:dyDescent="0.25">
      <c r="A111" s="153"/>
      <c r="B111" s="2" t="s">
        <v>138</v>
      </c>
      <c r="C111" s="2">
        <v>9</v>
      </c>
      <c r="D111" s="22" t="str" cm="1">
        <f t="array" ref="D111">IFERROR(INDEX(Данные!$B$1:$B$200,SMALL(IF(B111=Данные!$A$1:$A$200,ROW(Данные!$A$1:$A$200)),C111)),"")</f>
        <v/>
      </c>
    </row>
    <row r="112" spans="1:4" ht="17.100000000000001" customHeight="1" x14ac:dyDescent="0.25">
      <c r="A112" s="153"/>
      <c r="B112" s="2" t="s">
        <v>138</v>
      </c>
      <c r="C112" s="2">
        <v>10</v>
      </c>
      <c r="D112" s="22" t="str" cm="1">
        <f t="array" ref="D112">IFERROR(INDEX(Данные!$B$1:$B$200,SMALL(IF(B112=Данные!$A$1:$A$200,ROW(Данные!$A$1:$A$200)),C112)),"")</f>
        <v/>
      </c>
    </row>
    <row r="113" spans="1:4" ht="17.100000000000001" customHeight="1" x14ac:dyDescent="0.25">
      <c r="A113" s="153"/>
      <c r="B113" s="2" t="s">
        <v>138</v>
      </c>
      <c r="C113" s="2">
        <v>11</v>
      </c>
      <c r="D113" s="22" t="str" cm="1">
        <f t="array" ref="D113">IFERROR(INDEX(Данные!$B$1:$B$200,SMALL(IF(B113=Данные!$A$1:$A$200,ROW(Данные!$A$1:$A$200)),C113)),"")</f>
        <v/>
      </c>
    </row>
    <row r="114" spans="1:4" ht="17.100000000000001" customHeight="1" x14ac:dyDescent="0.25">
      <c r="A114" s="153"/>
      <c r="B114" s="2" t="s">
        <v>138</v>
      </c>
      <c r="C114" s="2">
        <v>12</v>
      </c>
      <c r="D114" s="22" t="str" cm="1">
        <f t="array" ref="D114">IFERROR(INDEX(Данные!$B$1:$B$200,SMALL(IF(B114=Данные!$A$1:$A$200,ROW(Данные!$A$1:$A$200)),C114)),"")</f>
        <v/>
      </c>
    </row>
    <row r="115" spans="1:4" ht="17.100000000000001" customHeight="1" x14ac:dyDescent="0.25">
      <c r="A115" s="156" t="s">
        <v>124</v>
      </c>
      <c r="B115" s="2" t="s">
        <v>139</v>
      </c>
      <c r="C115" s="2">
        <v>1</v>
      </c>
      <c r="D115" s="22" t="str" cm="1">
        <f t="array" ref="D115">IFERROR(INDEX(Данные!$B$1:$B$200,SMALL(IF(B115=Данные!$A$1:$A$200,ROW(Данные!$A$1:$A$200)),C115)),"")</f>
        <v>SHA01212</v>
      </c>
    </row>
    <row r="116" spans="1:4" ht="17.100000000000001" customHeight="1" x14ac:dyDescent="0.25">
      <c r="A116" s="157"/>
      <c r="B116" s="2" t="s">
        <v>139</v>
      </c>
      <c r="C116" s="2">
        <v>2</v>
      </c>
      <c r="D116" s="22" t="str" cm="1">
        <f t="array" ref="D116">IFERROR(INDEX(Данные!$B$1:$B$200,SMALL(IF(B116=Данные!$A$1:$A$200,ROW(Данные!$A$1:$A$200)),C116)),"")</f>
        <v/>
      </c>
    </row>
    <row r="117" spans="1:4" ht="17.100000000000001" customHeight="1" x14ac:dyDescent="0.25">
      <c r="A117" s="157"/>
      <c r="B117" s="2" t="s">
        <v>139</v>
      </c>
      <c r="C117" s="2">
        <v>3</v>
      </c>
      <c r="D117" s="22" t="str" cm="1">
        <f t="array" ref="D117">IFERROR(INDEX(Данные!$B$1:$B$200,SMALL(IF(B117=Данные!$A$1:$A$200,ROW(Данные!$A$1:$A$200)),C117)),"")</f>
        <v/>
      </c>
    </row>
    <row r="118" spans="1:4" ht="17.100000000000001" customHeight="1" x14ac:dyDescent="0.25">
      <c r="A118" s="158"/>
      <c r="B118" s="2" t="s">
        <v>139</v>
      </c>
      <c r="C118" s="2">
        <v>4</v>
      </c>
      <c r="D118" s="22" t="str" cm="1">
        <f t="array" ref="D118">IFERROR(INDEX(Данные!$B$1:$B$200,SMALL(IF(B118=Данные!$A$1:$A$200,ROW(Данные!$A$1:$A$200)),C118)),"")</f>
        <v/>
      </c>
    </row>
    <row r="119" spans="1:4" ht="17.100000000000001" customHeight="1" x14ac:dyDescent="0.25">
      <c r="A119" s="156" t="s">
        <v>123</v>
      </c>
      <c r="B119" s="2" t="s">
        <v>140</v>
      </c>
      <c r="C119" s="2">
        <v>1</v>
      </c>
      <c r="D119" s="22" t="str" cm="1">
        <f t="array" ref="D119">IFERROR(INDEX(Данные!$B$1:$B$200,SMALL(IF(B119=Данные!$A$1:$A$200,ROW(Данные!$A$1:$A$200)),C119)),"")</f>
        <v>SHA01210</v>
      </c>
    </row>
    <row r="120" spans="1:4" ht="17.100000000000001" customHeight="1" x14ac:dyDescent="0.25">
      <c r="A120" s="157"/>
      <c r="B120" s="2" t="s">
        <v>140</v>
      </c>
      <c r="C120" s="2">
        <v>2</v>
      </c>
      <c r="D120" s="22" t="str" cm="1">
        <f t="array" ref="D120">IFERROR(INDEX(Данные!$B$1:$B$200,SMALL(IF(B120=Данные!$A$1:$A$200,ROW(Данные!$A$1:$A$200)),C120)),"")</f>
        <v/>
      </c>
    </row>
    <row r="121" spans="1:4" ht="17.100000000000001" customHeight="1" x14ac:dyDescent="0.25">
      <c r="A121" s="157"/>
      <c r="B121" s="2" t="s">
        <v>140</v>
      </c>
      <c r="C121" s="2">
        <v>3</v>
      </c>
      <c r="D121" s="22" t="str" cm="1">
        <f t="array" ref="D121">IFERROR(INDEX(Данные!$B$1:$B$200,SMALL(IF(B121=Данные!$A$1:$A$200,ROW(Данные!$A$1:$A$200)),C121)),"")</f>
        <v/>
      </c>
    </row>
    <row r="122" spans="1:4" ht="17.100000000000001" customHeight="1" x14ac:dyDescent="0.25">
      <c r="A122" s="158"/>
      <c r="B122" s="2" t="s">
        <v>140</v>
      </c>
      <c r="C122" s="2">
        <v>4</v>
      </c>
      <c r="D122" s="22" t="str" cm="1">
        <f t="array" ref="D122">IFERROR(INDEX(Данные!$B$1:$B$200,SMALL(IF(B122=Данные!$A$1:$A$200,ROW(Данные!$A$1:$A$200)),C122)),"")</f>
        <v/>
      </c>
    </row>
    <row r="123" spans="1:4" ht="17.100000000000001" customHeight="1" x14ac:dyDescent="0.25">
      <c r="A123" s="153" t="s">
        <v>132</v>
      </c>
      <c r="B123" s="2" t="s">
        <v>10</v>
      </c>
      <c r="C123" s="2">
        <v>1</v>
      </c>
      <c r="D123" s="22" t="str" cm="1">
        <f t="array" ref="D123">IFERROR(INDEX(Данные!$B$1:$B$200,SMALL(IF(B123=Данные!$A$1:$A$200,ROW(Данные!$A$1:$A$200)),C123)),"")</f>
        <v>SHA01219</v>
      </c>
    </row>
    <row r="124" spans="1:4" ht="17.100000000000001" customHeight="1" x14ac:dyDescent="0.25">
      <c r="A124" s="153"/>
      <c r="B124" s="2" t="s">
        <v>10</v>
      </c>
      <c r="C124" s="2">
        <v>2</v>
      </c>
      <c r="D124" s="22" t="str" cm="1">
        <f t="array" ref="D124">IFERROR(INDEX(Данные!$B$1:$B$200,SMALL(IF(B124=Данные!$A$1:$A$200,ROW(Данные!$A$1:$A$200)),C124)),"")</f>
        <v>SHA01218</v>
      </c>
    </row>
    <row r="125" spans="1:4" ht="17.100000000000001" customHeight="1" x14ac:dyDescent="0.25">
      <c r="A125" s="153"/>
      <c r="B125" s="2" t="s">
        <v>10</v>
      </c>
      <c r="C125" s="2">
        <v>3</v>
      </c>
      <c r="D125" s="22" t="str" cm="1">
        <f t="array" ref="D125">IFERROR(INDEX(Данные!$B$1:$B$200,SMALL(IF(B125=Данные!$A$1:$A$200,ROW(Данные!$A$1:$A$200)),C125)),"")</f>
        <v/>
      </c>
    </row>
    <row r="126" spans="1:4" ht="17.100000000000001" customHeight="1" x14ac:dyDescent="0.25">
      <c r="A126" s="153"/>
      <c r="B126" s="2" t="s">
        <v>10</v>
      </c>
      <c r="C126" s="2">
        <v>4</v>
      </c>
      <c r="D126" s="22" t="str" cm="1">
        <f t="array" ref="D126">IFERROR(INDEX(Данные!$B$1:$B$200,SMALL(IF(B126=Данные!$A$1:$A$200,ROW(Данные!$A$1:$A$200)),C126)),"")</f>
        <v/>
      </c>
    </row>
    <row r="127" spans="1:4" ht="17.100000000000001" customHeight="1" x14ac:dyDescent="0.25">
      <c r="A127" s="153"/>
      <c r="B127" s="2" t="s">
        <v>10</v>
      </c>
      <c r="C127" s="2">
        <v>5</v>
      </c>
      <c r="D127" s="22" t="str" cm="1">
        <f t="array" ref="D127">IFERROR(INDEX(Данные!$B$1:$B$200,SMALL(IF(B127=Данные!$A$1:$A$200,ROW(Данные!$A$1:$A$200)),C127)),"")</f>
        <v/>
      </c>
    </row>
    <row r="128" spans="1:4" ht="17.100000000000001" customHeight="1" x14ac:dyDescent="0.25">
      <c r="A128" s="153"/>
      <c r="B128" s="2" t="s">
        <v>10</v>
      </c>
      <c r="C128" s="2">
        <v>6</v>
      </c>
      <c r="D128" s="22" t="str" cm="1">
        <f t="array" ref="D128">IFERROR(INDEX(Данные!$B$1:$B$200,SMALL(IF(B128=Данные!$A$1:$A$200,ROW(Данные!$A$1:$A$200)),C128)),"")</f>
        <v/>
      </c>
    </row>
    <row r="129" spans="1:4" ht="17.100000000000001" customHeight="1" x14ac:dyDescent="0.25">
      <c r="A129" s="153" t="s">
        <v>133</v>
      </c>
      <c r="B129" s="2" t="s">
        <v>128</v>
      </c>
      <c r="C129" s="2">
        <v>1</v>
      </c>
      <c r="D129" s="22" t="str" cm="1">
        <f t="array" ref="D129">IFERROR(INDEX(Данные!$B$1:$B$200,SMALL(IF(B129=Данные!$A$1:$A$200,ROW(Данные!$A$1:$A$200)),C129)),"")</f>
        <v>SHA01204</v>
      </c>
    </row>
    <row r="130" spans="1:4" ht="17.100000000000001" customHeight="1" x14ac:dyDescent="0.25">
      <c r="A130" s="153"/>
      <c r="B130" s="2" t="s">
        <v>128</v>
      </c>
      <c r="C130" s="2">
        <v>2</v>
      </c>
      <c r="D130" s="22" t="str" cm="1">
        <f t="array" ref="D130">IFERROR(INDEX(Данные!$B$1:$B$200,SMALL(IF(B130=Данные!$A$1:$A$200,ROW(Данные!$A$1:$A$200)),C130)),"")</f>
        <v/>
      </c>
    </row>
    <row r="131" spans="1:4" ht="17.100000000000001" customHeight="1" x14ac:dyDescent="0.25">
      <c r="A131" s="153"/>
      <c r="B131" s="2" t="s">
        <v>128</v>
      </c>
      <c r="C131" s="2">
        <v>3</v>
      </c>
      <c r="D131" s="22" t="str" cm="1">
        <f t="array" ref="D131">IFERROR(INDEX(Данные!$B$1:$B$200,SMALL(IF(B131=Данные!$A$1:$A$200,ROW(Данные!$A$1:$A$200)),C131)),"")</f>
        <v/>
      </c>
    </row>
    <row r="132" spans="1:4" ht="17.100000000000001" customHeight="1" x14ac:dyDescent="0.25">
      <c r="A132" s="153"/>
      <c r="B132" s="2" t="s">
        <v>128</v>
      </c>
      <c r="C132" s="2">
        <v>4</v>
      </c>
      <c r="D132" s="22" t="str" cm="1">
        <f t="array" ref="D132">IFERROR(INDEX(Данные!$B$1:$B$200,SMALL(IF(B132=Данные!$A$1:$A$200,ROW(Данные!$A$1:$A$200)),C132)),"")</f>
        <v/>
      </c>
    </row>
    <row r="133" spans="1:4" ht="17.100000000000001" customHeight="1" x14ac:dyDescent="0.25">
      <c r="A133" s="153"/>
      <c r="B133" s="2" t="s">
        <v>128</v>
      </c>
      <c r="C133" s="2">
        <v>5</v>
      </c>
      <c r="D133" s="22" t="str" cm="1">
        <f t="array" ref="D133">IFERROR(INDEX(Данные!$B$1:$B$200,SMALL(IF(B133=Данные!$A$1:$A$200,ROW(Данные!$A$1:$A$200)),C133)),"")</f>
        <v/>
      </c>
    </row>
    <row r="134" spans="1:4" ht="17.100000000000001" customHeight="1" x14ac:dyDescent="0.25">
      <c r="A134" s="153"/>
      <c r="B134" s="2" t="s">
        <v>128</v>
      </c>
      <c r="C134" s="2">
        <v>6</v>
      </c>
      <c r="D134" s="22" t="str" cm="1">
        <f t="array" ref="D134">IFERROR(INDEX(Данные!$B$1:$B$200,SMALL(IF(B134=Данные!$A$1:$A$200,ROW(Данные!$A$1:$A$200)),C134)),"")</f>
        <v/>
      </c>
    </row>
    <row r="135" spans="1:4" ht="17.100000000000001" customHeight="1" x14ac:dyDescent="0.25">
      <c r="A135" s="156" t="s">
        <v>125</v>
      </c>
      <c r="B135" s="2" t="s">
        <v>129</v>
      </c>
      <c r="C135" s="2">
        <v>1</v>
      </c>
      <c r="D135" s="22" t="str" cm="1">
        <f t="array" ref="D135">IFERROR(INDEX(Данные!$B$1:$B$200,SMALL(IF(B135=Данные!$A$1:$A$200,ROW(Данные!$A$1:$A$200)),C135)),"")</f>
        <v>SHA01203</v>
      </c>
    </row>
    <row r="136" spans="1:4" ht="17.100000000000001" customHeight="1" x14ac:dyDescent="0.25">
      <c r="A136" s="157"/>
      <c r="B136" s="2" t="s">
        <v>129</v>
      </c>
      <c r="C136" s="2">
        <v>2</v>
      </c>
      <c r="D136" s="22" t="str" cm="1">
        <f t="array" ref="D136">IFERROR(INDEX(Данные!$B$1:$B$200,SMALL(IF(B136=Данные!$A$1:$A$200,ROW(Данные!$A$1:$A$200)),C136)),"")</f>
        <v>SHA01202</v>
      </c>
    </row>
    <row r="137" spans="1:4" ht="17.100000000000001" customHeight="1" x14ac:dyDescent="0.25">
      <c r="A137" s="157"/>
      <c r="B137" s="2" t="s">
        <v>129</v>
      </c>
      <c r="C137" s="2">
        <v>3</v>
      </c>
      <c r="D137" s="22" t="str" cm="1">
        <f t="array" ref="D137">IFERROR(INDEX(Данные!$B$1:$B$200,SMALL(IF(B137=Данные!$A$1:$A$200,ROW(Данные!$A$1:$A$200)),C137)),"")</f>
        <v>SHA01201</v>
      </c>
    </row>
    <row r="138" spans="1:4" ht="17.100000000000001" customHeight="1" x14ac:dyDescent="0.25">
      <c r="A138" s="157"/>
      <c r="B138" s="2" t="s">
        <v>129</v>
      </c>
      <c r="C138" s="2">
        <v>4</v>
      </c>
      <c r="D138" s="22" t="str" cm="1">
        <f t="array" ref="D138">IFERROR(INDEX(Данные!$B$1:$B$200,SMALL(IF(B138=Данные!$A$1:$A$200,ROW(Данные!$A$1:$A$200)),C138)),"")</f>
        <v/>
      </c>
    </row>
    <row r="139" spans="1:4" ht="17.100000000000001" customHeight="1" x14ac:dyDescent="0.25">
      <c r="A139" s="157"/>
      <c r="B139" s="2" t="s">
        <v>129</v>
      </c>
      <c r="C139" s="2">
        <v>5</v>
      </c>
      <c r="D139" s="22" t="str" cm="1">
        <f t="array" ref="D139">IFERROR(INDEX(Данные!$B$1:$B$200,SMALL(IF(B139=Данные!$A$1:$A$200,ROW(Данные!$A$1:$A$200)),C139)),"")</f>
        <v/>
      </c>
    </row>
    <row r="140" spans="1:4" ht="17.100000000000001" customHeight="1" x14ac:dyDescent="0.25">
      <c r="A140" s="157"/>
      <c r="B140" s="2" t="s">
        <v>129</v>
      </c>
      <c r="C140" s="2">
        <v>6</v>
      </c>
      <c r="D140" s="22" t="str" cm="1">
        <f t="array" ref="D140">IFERROR(INDEX(Данные!$B$1:$B$200,SMALL(IF(B140=Данные!$A$1:$A$200,ROW(Данные!$A$1:$A$200)),C140)),"")</f>
        <v/>
      </c>
    </row>
    <row r="141" spans="1:4" ht="17.100000000000001" customHeight="1" x14ac:dyDescent="0.25">
      <c r="A141" s="157"/>
      <c r="B141" s="2" t="s">
        <v>129</v>
      </c>
      <c r="C141" s="2">
        <v>7</v>
      </c>
      <c r="D141" s="22" t="str" cm="1">
        <f t="array" ref="D141">IFERROR(INDEX(Данные!$B$1:$B$200,SMALL(IF(B141=Данные!$A$1:$A$200,ROW(Данные!$A$1:$A$200)),C141)),"")</f>
        <v/>
      </c>
    </row>
    <row r="142" spans="1:4" ht="17.100000000000001" customHeight="1" x14ac:dyDescent="0.25">
      <c r="A142" s="157"/>
      <c r="B142" s="2" t="s">
        <v>129</v>
      </c>
      <c r="C142" s="2">
        <v>8</v>
      </c>
      <c r="D142" s="22" t="str" cm="1">
        <f t="array" ref="D142">IFERROR(INDEX(Данные!$B$1:$B$200,SMALL(IF(B142=Данные!$A$1:$A$200,ROW(Данные!$A$1:$A$200)),C142)),"")</f>
        <v/>
      </c>
    </row>
    <row r="143" spans="1:4" ht="17.100000000000001" customHeight="1" x14ac:dyDescent="0.25">
      <c r="A143" s="158"/>
      <c r="B143" s="2" t="s">
        <v>129</v>
      </c>
      <c r="C143" s="2">
        <v>9</v>
      </c>
      <c r="D143" s="22" t="str" cm="1">
        <f t="array" ref="D143">IFERROR(INDEX(Данные!$B$1:$B$200,SMALL(IF(B143=Данные!$A$1:$A$200,ROW(Данные!$A$1:$A$200)),C143)),"")</f>
        <v/>
      </c>
    </row>
    <row r="144" spans="1:4" ht="17.100000000000001" customHeight="1" x14ac:dyDescent="0.25">
      <c r="A144" s="153" t="s">
        <v>126</v>
      </c>
      <c r="B144" s="2" t="s">
        <v>141</v>
      </c>
      <c r="C144" s="2">
        <v>1</v>
      </c>
      <c r="D144" s="22" t="str" cm="1">
        <f t="array" ref="D144">IFERROR(INDEX(Данные!$B$1:$B$200,SMALL(IF(B144=Данные!$A$1:$A$200,ROW(Данные!$A$1:$A$200)),C144)),"")</f>
        <v>SHA01209</v>
      </c>
    </row>
    <row r="145" spans="1:4" ht="17.100000000000001" customHeight="1" x14ac:dyDescent="0.25">
      <c r="A145" s="153"/>
      <c r="B145" s="2" t="s">
        <v>141</v>
      </c>
      <c r="C145" s="2">
        <v>2</v>
      </c>
      <c r="D145" s="22" t="str" cm="1">
        <f t="array" ref="D145">IFERROR(INDEX(Данные!$B$1:$B$200,SMALL(IF(B145=Данные!$A$1:$A$200,ROW(Данные!$A$1:$A$200)),C145)),"")</f>
        <v>SHA01208</v>
      </c>
    </row>
    <row r="146" spans="1:4" ht="17.100000000000001" customHeight="1" x14ac:dyDescent="0.25">
      <c r="A146" s="153"/>
      <c r="B146" s="2" t="s">
        <v>141</v>
      </c>
      <c r="C146" s="2">
        <v>3</v>
      </c>
      <c r="D146" s="22" t="str" cm="1">
        <f t="array" ref="D146">IFERROR(INDEX(Данные!$B$1:$B$200,SMALL(IF(B146=Данные!$A$1:$A$200,ROW(Данные!$A$1:$A$200)),C146)),"")</f>
        <v/>
      </c>
    </row>
    <row r="147" spans="1:4" ht="17.100000000000001" customHeight="1" x14ac:dyDescent="0.25">
      <c r="A147" s="153"/>
      <c r="B147" s="2" t="s">
        <v>141</v>
      </c>
      <c r="C147" s="2">
        <v>4</v>
      </c>
      <c r="D147" s="22" t="str" cm="1">
        <f t="array" ref="D147">IFERROR(INDEX(Данные!$B$1:$B$200,SMALL(IF(B147=Данные!$A$1:$A$200,ROW(Данные!$A$1:$A$200)),C147)),"")</f>
        <v/>
      </c>
    </row>
    <row r="148" spans="1:4" ht="17.100000000000001" customHeight="1" x14ac:dyDescent="0.25">
      <c r="A148" s="153"/>
      <c r="B148" s="2" t="s">
        <v>141</v>
      </c>
      <c r="C148" s="2">
        <v>5</v>
      </c>
      <c r="D148" s="22" t="str" cm="1">
        <f t="array" ref="D148">IFERROR(INDEX(Данные!$B$1:$B$200,SMALL(IF(B148=Данные!$A$1:$A$200,ROW(Данные!$A$1:$A$200)),C148)),"")</f>
        <v/>
      </c>
    </row>
    <row r="149" spans="1:4" ht="17.100000000000001" customHeight="1" x14ac:dyDescent="0.25">
      <c r="A149" s="153"/>
      <c r="B149" s="2" t="s">
        <v>141</v>
      </c>
      <c r="C149" s="2">
        <v>6</v>
      </c>
      <c r="D149" s="22" t="str" cm="1">
        <f t="array" ref="D149">IFERROR(INDEX(Данные!$B$1:$B$200,SMALL(IF(B149=Данные!$A$1:$A$200,ROW(Данные!$A$1:$A$200)),C149)),"")</f>
        <v/>
      </c>
    </row>
    <row r="150" spans="1:4" ht="17.100000000000001" customHeight="1" x14ac:dyDescent="0.25">
      <c r="A150" s="153" t="s">
        <v>127</v>
      </c>
      <c r="B150" s="2" t="s">
        <v>142</v>
      </c>
      <c r="C150" s="2">
        <v>1</v>
      </c>
      <c r="D150" s="22" t="str" cm="1">
        <f t="array" ref="D150">IFERROR(INDEX(Данные!$B$1:$B$200,SMALL(IF(B150=Данные!$A$1:$A$200,ROW(Данные!$A$1:$A$200)),C150)),"")</f>
        <v>SHA01207</v>
      </c>
    </row>
    <row r="151" spans="1:4" ht="17.100000000000001" customHeight="1" x14ac:dyDescent="0.25">
      <c r="A151" s="153"/>
      <c r="B151" s="2" t="s">
        <v>142</v>
      </c>
      <c r="C151" s="2">
        <v>2</v>
      </c>
      <c r="D151" s="22" t="str" cm="1">
        <f t="array" ref="D151">IFERROR(INDEX(Данные!$B$1:$B$200,SMALL(IF(B151=Данные!$A$1:$A$200,ROW(Данные!$A$1:$A$200)),C151)),"")</f>
        <v/>
      </c>
    </row>
    <row r="152" spans="1:4" ht="17.100000000000001" customHeight="1" x14ac:dyDescent="0.25">
      <c r="A152" s="153"/>
      <c r="B152" s="2" t="s">
        <v>142</v>
      </c>
      <c r="C152" s="2">
        <v>3</v>
      </c>
      <c r="D152" s="22" t="str" cm="1">
        <f t="array" ref="D152">IFERROR(INDEX(Данные!$B$1:$B$200,SMALL(IF(B152=Данные!$A$1:$A$200,ROW(Данные!$A$1:$A$200)),C152)),"")</f>
        <v/>
      </c>
    </row>
    <row r="153" spans="1:4" ht="17.100000000000001" customHeight="1" x14ac:dyDescent="0.25">
      <c r="A153" s="153"/>
      <c r="B153" s="2" t="s">
        <v>142</v>
      </c>
      <c r="C153" s="2">
        <v>4</v>
      </c>
      <c r="D153" s="22" t="str" cm="1">
        <f t="array" ref="D153">IFERROR(INDEX(Данные!$B$1:$B$200,SMALL(IF(B153=Данные!$A$1:$A$200,ROW(Данные!$A$1:$A$200)),C153)),"")</f>
        <v/>
      </c>
    </row>
    <row r="154" spans="1:4" ht="17.100000000000001" customHeight="1" x14ac:dyDescent="0.25">
      <c r="A154" s="153"/>
      <c r="B154" s="2" t="s">
        <v>142</v>
      </c>
      <c r="C154" s="2">
        <v>5</v>
      </c>
      <c r="D154" s="22" t="str" cm="1">
        <f t="array" ref="D154">IFERROR(INDEX(Данные!$B$1:$B$200,SMALL(IF(B154=Данные!$A$1:$A$200,ROW(Данные!$A$1:$A$200)),C154)),"")</f>
        <v/>
      </c>
    </row>
    <row r="155" spans="1:4" ht="17.100000000000001" customHeight="1" x14ac:dyDescent="0.25">
      <c r="A155" s="153"/>
      <c r="B155" s="2" t="s">
        <v>142</v>
      </c>
      <c r="C155" s="2">
        <v>6</v>
      </c>
      <c r="D155" s="22" t="str" cm="1">
        <f t="array" ref="D155">IFERROR(INDEX(Данные!$B$1:$B$200,SMALL(IF(B155=Данные!$A$1:$A$200,ROW(Данные!$A$1:$A$200)),C155)),"")</f>
        <v/>
      </c>
    </row>
    <row r="156" spans="1:4" ht="17.100000000000001" customHeight="1" x14ac:dyDescent="0.25">
      <c r="A156" s="159" t="s">
        <v>118</v>
      </c>
      <c r="B156" s="2" t="s">
        <v>143</v>
      </c>
      <c r="C156" s="2">
        <v>1</v>
      </c>
      <c r="D156" s="22" t="str" cm="1">
        <f t="array" ref="D156">IFERROR(INDEX(Данные!$B$1:$B$200,SMALL(IF(B156=Данные!$A$1:$A$200,ROW(Данные!$A$1:$A$200)),C156)),"")</f>
        <v>SHA01206</v>
      </c>
    </row>
    <row r="157" spans="1:4" ht="17.100000000000001" customHeight="1" x14ac:dyDescent="0.25">
      <c r="A157" s="160"/>
      <c r="B157" s="2" t="s">
        <v>143</v>
      </c>
      <c r="C157" s="2">
        <v>2</v>
      </c>
      <c r="D157" s="22" t="str" cm="1">
        <f t="array" ref="D157">IFERROR(INDEX(Данные!$B$1:$B$200,SMALL(IF(B157=Данные!$A$1:$A$200,ROW(Данные!$A$1:$A$200)),C157)),"")</f>
        <v>SHA01205</v>
      </c>
    </row>
    <row r="158" spans="1:4" ht="17.100000000000001" customHeight="1" x14ac:dyDescent="0.25">
      <c r="A158" s="160"/>
      <c r="B158" s="2" t="s">
        <v>143</v>
      </c>
      <c r="C158" s="2">
        <v>3</v>
      </c>
      <c r="D158" s="22" t="str" cm="1">
        <f t="array" ref="D158">IFERROR(INDEX(Данные!$B$1:$B$200,SMALL(IF(B158=Данные!$A$1:$A$200,ROW(Данные!$A$1:$A$200)),C158)),"")</f>
        <v/>
      </c>
    </row>
    <row r="159" spans="1:4" ht="17.100000000000001" customHeight="1" x14ac:dyDescent="0.25">
      <c r="A159" s="160"/>
      <c r="B159" s="2" t="s">
        <v>143</v>
      </c>
      <c r="C159" s="2">
        <v>4</v>
      </c>
      <c r="D159" s="22" t="str" cm="1">
        <f t="array" ref="D159">IFERROR(INDEX(Данные!$B$1:$B$200,SMALL(IF(B159=Данные!$A$1:$A$200,ROW(Данные!$A$1:$A$200)),C159)),"")</f>
        <v/>
      </c>
    </row>
    <row r="160" spans="1:4" ht="17.100000000000001" customHeight="1" x14ac:dyDescent="0.25">
      <c r="A160" s="160"/>
      <c r="B160" s="2" t="s">
        <v>143</v>
      </c>
      <c r="C160" s="2">
        <v>5</v>
      </c>
      <c r="D160" s="22" t="str" cm="1">
        <f t="array" ref="D160">IFERROR(INDEX(Данные!$B$1:$B$200,SMALL(IF(B160=Данные!$A$1:$A$200,ROW(Данные!$A$1:$A$200)),C160)),"")</f>
        <v/>
      </c>
    </row>
    <row r="161" spans="1:4" ht="17.100000000000001" customHeight="1" x14ac:dyDescent="0.25">
      <c r="A161" s="160"/>
      <c r="B161" s="2" t="s">
        <v>143</v>
      </c>
      <c r="C161" s="2">
        <v>6</v>
      </c>
      <c r="D161" s="22" t="str" cm="1">
        <f t="array" ref="D161">IFERROR(INDEX(Данные!$B$1:$B$200,SMALL(IF(B161=Данные!$A$1:$A$200,ROW(Данные!$A$1:$A$200)),C161)),"")</f>
        <v/>
      </c>
    </row>
    <row r="162" spans="1:4" ht="17.100000000000001" customHeight="1" x14ac:dyDescent="0.25">
      <c r="A162" s="160"/>
      <c r="B162" s="2" t="s">
        <v>143</v>
      </c>
      <c r="C162" s="2">
        <v>7</v>
      </c>
      <c r="D162" s="22" t="str" cm="1">
        <f t="array" ref="D162">IFERROR(INDEX(Данные!$B$1:$B$200,SMALL(IF(B162=Данные!$A$1:$A$200,ROW(Данные!$A$1:$A$200)),C162)),"")</f>
        <v/>
      </c>
    </row>
    <row r="163" spans="1:4" ht="17.100000000000001" customHeight="1" x14ac:dyDescent="0.25">
      <c r="A163" s="160"/>
      <c r="B163" s="2" t="s">
        <v>143</v>
      </c>
      <c r="C163" s="2">
        <v>8</v>
      </c>
      <c r="D163" s="22" t="str" cm="1">
        <f t="array" ref="D163">IFERROR(INDEX(Данные!$B$1:$B$200,SMALL(IF(B163=Данные!$A$1:$A$200,ROW(Данные!$A$1:$A$200)),C163)),"")</f>
        <v/>
      </c>
    </row>
    <row r="164" spans="1:4" ht="17.100000000000001" customHeight="1" x14ac:dyDescent="0.25">
      <c r="A164" s="161"/>
      <c r="B164" s="2" t="s">
        <v>143</v>
      </c>
      <c r="C164" s="2">
        <v>9</v>
      </c>
      <c r="D164" s="22" t="str" cm="1">
        <f t="array" ref="D164">IFERROR(INDEX(Данные!$B$1:$B$200,SMALL(IF(B164=Данные!$A$1:$A$200,ROW(Данные!$A$1:$A$200)),C164)),"")</f>
        <v/>
      </c>
    </row>
    <row r="165" spans="1:4" ht="17.100000000000001" customHeight="1" x14ac:dyDescent="0.25">
      <c r="A165" s="153" t="s">
        <v>15</v>
      </c>
      <c r="B165" s="2" t="s">
        <v>12</v>
      </c>
      <c r="C165" s="2">
        <v>1</v>
      </c>
      <c r="D165" s="22" t="str" cm="1">
        <f t="array" ref="D165">IFERROR(INDEX(Данные!$B$1:$B$200,SMALL(IF(B165=Данные!$A$1:$A$200,ROW(Данные!$A$1:$A$200)),C165)),"")</f>
        <v>SHA01217</v>
      </c>
    </row>
    <row r="166" spans="1:4" ht="17.100000000000001" customHeight="1" x14ac:dyDescent="0.25">
      <c r="A166" s="153"/>
      <c r="B166" s="2" t="s">
        <v>12</v>
      </c>
      <c r="C166" s="2">
        <v>2</v>
      </c>
      <c r="D166" s="22" t="str" cm="1">
        <f t="array" ref="D166">IFERROR(INDEX(Данные!$B$1:$B$200,SMALL(IF(B166=Данные!$A$1:$A$200,ROW(Данные!$A$1:$A$200)),C166)),"")</f>
        <v>SHA01216</v>
      </c>
    </row>
    <row r="167" spans="1:4" ht="17.100000000000001" customHeight="1" x14ac:dyDescent="0.25">
      <c r="A167" s="153"/>
      <c r="B167" s="2" t="s">
        <v>12</v>
      </c>
      <c r="C167" s="2">
        <v>3</v>
      </c>
      <c r="D167" s="22" t="str" cm="1">
        <f t="array" ref="D167">IFERROR(INDEX(Данные!$B$1:$B$200,SMALL(IF(B167=Данные!$A$1:$A$200,ROW(Данные!$A$1:$A$200)),C167)),"")</f>
        <v/>
      </c>
    </row>
    <row r="168" spans="1:4" ht="17.100000000000001" customHeight="1" x14ac:dyDescent="0.25">
      <c r="A168" s="153"/>
      <c r="B168" s="2" t="s">
        <v>12</v>
      </c>
      <c r="C168" s="2">
        <v>4</v>
      </c>
      <c r="D168" s="22" t="str" cm="1">
        <f t="array" ref="D168">IFERROR(INDEX(Данные!$B$1:$B$200,SMALL(IF(B168=Данные!$A$1:$A$200,ROW(Данные!$A$1:$A$200)),C168)),"")</f>
        <v/>
      </c>
    </row>
    <row r="169" spans="1:4" ht="17.100000000000001" customHeight="1" x14ac:dyDescent="0.25">
      <c r="A169" s="153"/>
      <c r="B169" s="2" t="s">
        <v>12</v>
      </c>
      <c r="C169" s="2">
        <v>5</v>
      </c>
      <c r="D169" s="22" t="str" cm="1">
        <f t="array" ref="D169">IFERROR(INDEX(Данные!$B$1:$B$200,SMALL(IF(B169=Данные!$A$1:$A$200,ROW(Данные!$A$1:$A$200)),C169)),"")</f>
        <v/>
      </c>
    </row>
  </sheetData>
  <mergeCells count="43">
    <mergeCell ref="A2:A5"/>
    <mergeCell ref="A9:A22"/>
    <mergeCell ref="A23:A31"/>
    <mergeCell ref="A83:A86"/>
    <mergeCell ref="A87:A90"/>
    <mergeCell ref="A123:A128"/>
    <mergeCell ref="A129:A134"/>
    <mergeCell ref="A165:A169"/>
    <mergeCell ref="A6:A8"/>
    <mergeCell ref="A91:A102"/>
    <mergeCell ref="A103:A114"/>
    <mergeCell ref="A115:A118"/>
    <mergeCell ref="A119:A122"/>
    <mergeCell ref="A144:A149"/>
    <mergeCell ref="A150:A155"/>
    <mergeCell ref="A156:A164"/>
    <mergeCell ref="A135:A143"/>
    <mergeCell ref="A41:A43"/>
    <mergeCell ref="A44:A57"/>
    <mergeCell ref="A59:A70"/>
    <mergeCell ref="A71:A82"/>
    <mergeCell ref="G27:H27"/>
    <mergeCell ref="AB23:AD23"/>
    <mergeCell ref="AB26:AD26"/>
    <mergeCell ref="A33:A40"/>
    <mergeCell ref="AB20:AD20"/>
    <mergeCell ref="J26:L26"/>
    <mergeCell ref="T20:V20"/>
    <mergeCell ref="T25:V25"/>
    <mergeCell ref="X20:Z20"/>
    <mergeCell ref="X25:Z25"/>
    <mergeCell ref="J20:L20"/>
    <mergeCell ref="J23:L23"/>
    <mergeCell ref="N20:O20"/>
    <mergeCell ref="Q20:R20"/>
    <mergeCell ref="N23:O23"/>
    <mergeCell ref="Q23:R23"/>
    <mergeCell ref="G20:H20"/>
    <mergeCell ref="AA2:AC2"/>
    <mergeCell ref="X10:AD10"/>
    <mergeCell ref="N11:V11"/>
    <mergeCell ref="G17:T17"/>
    <mergeCell ref="W17:AD17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8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3C492-81F0-407E-8734-8530A070CDCB}">
  <sheetPr codeName="Лист2"/>
  <dimension ref="A1:J81"/>
  <sheetViews>
    <sheetView workbookViewId="0">
      <selection activeCell="AG7" sqref="AG7:AH10"/>
    </sheetView>
  </sheetViews>
  <sheetFormatPr defaultRowHeight="15" x14ac:dyDescent="0.25"/>
  <cols>
    <col min="1" max="1" width="11.5703125" style="1" bestFit="1" customWidth="1"/>
    <col min="2" max="2" width="10.85546875" style="1" customWidth="1"/>
    <col min="3" max="3" width="9.140625" style="1"/>
    <col min="4" max="4" width="12.28515625" style="1" bestFit="1" customWidth="1"/>
    <col min="6" max="6" width="11" bestFit="1" customWidth="1"/>
    <col min="8" max="8" width="14" customWidth="1"/>
    <col min="9" max="9" width="10.28515625" customWidth="1"/>
  </cols>
  <sheetData>
    <row r="1" spans="1:10" x14ac:dyDescent="0.25">
      <c r="A1" s="1" t="s">
        <v>20</v>
      </c>
      <c r="B1" s="1" t="s">
        <v>17</v>
      </c>
      <c r="C1" s="1" t="s">
        <v>18</v>
      </c>
      <c r="D1" s="1" t="s">
        <v>19</v>
      </c>
      <c r="H1" s="8">
        <v>6.2499999999999995E-3</v>
      </c>
      <c r="J1" s="11" t="str" cm="1">
        <f t="array" ref="J1">INDEX($B$1:$B$200,MATCH(SMALL(IF($A$1:$A$200="P1",$D$1:$D$200),1),$D$1:$D$200,0))</f>
        <v>SHA01275</v>
      </c>
    </row>
    <row r="2" spans="1:10" x14ac:dyDescent="0.25">
      <c r="A2" s="1" t="s">
        <v>3</v>
      </c>
      <c r="B2" s="1" t="s">
        <v>100</v>
      </c>
      <c r="C2" s="1" t="s">
        <v>7</v>
      </c>
      <c r="D2" s="9">
        <v>0.45833333333333331</v>
      </c>
    </row>
    <row r="3" spans="1:10" x14ac:dyDescent="0.25">
      <c r="A3" s="1" t="s">
        <v>3</v>
      </c>
      <c r="B3" s="1" t="s">
        <v>99</v>
      </c>
      <c r="C3" s="1" t="s">
        <v>7</v>
      </c>
      <c r="D3" s="9">
        <f>D2-$H$1</f>
        <v>0.45208333333333334</v>
      </c>
    </row>
    <row r="4" spans="1:10" x14ac:dyDescent="0.25">
      <c r="A4" s="1" t="s">
        <v>4</v>
      </c>
      <c r="B4" s="1" t="s">
        <v>98</v>
      </c>
      <c r="C4" s="1" t="s">
        <v>7</v>
      </c>
      <c r="D4" s="9">
        <f t="shared" ref="D4:D7" si="0">D3-$H$1</f>
        <v>0.44583333333333336</v>
      </c>
    </row>
    <row r="5" spans="1:10" x14ac:dyDescent="0.25">
      <c r="A5" s="1" t="s">
        <v>4</v>
      </c>
      <c r="B5" s="1" t="s">
        <v>97</v>
      </c>
      <c r="C5" s="1" t="s">
        <v>7</v>
      </c>
      <c r="D5" s="9">
        <f t="shared" si="0"/>
        <v>0.43958333333333338</v>
      </c>
      <c r="G5" s="11"/>
    </row>
    <row r="6" spans="1:10" x14ac:dyDescent="0.25">
      <c r="A6" s="1" t="s">
        <v>3</v>
      </c>
      <c r="B6" s="1" t="s">
        <v>96</v>
      </c>
      <c r="C6" s="1" t="s">
        <v>7</v>
      </c>
      <c r="D6" s="9">
        <f t="shared" si="0"/>
        <v>0.4333333333333334</v>
      </c>
    </row>
    <row r="7" spans="1:10" x14ac:dyDescent="0.25">
      <c r="A7" s="1" t="s">
        <v>3</v>
      </c>
      <c r="B7" s="1" t="s">
        <v>95</v>
      </c>
      <c r="C7" s="1" t="s">
        <v>7</v>
      </c>
      <c r="D7" s="9">
        <f t="shared" si="0"/>
        <v>0.42708333333333343</v>
      </c>
    </row>
    <row r="8" spans="1:10" x14ac:dyDescent="0.25">
      <c r="A8" s="1" t="s">
        <v>5</v>
      </c>
      <c r="B8" s="1" t="s">
        <v>94</v>
      </c>
      <c r="C8" s="1" t="s">
        <v>7</v>
      </c>
      <c r="D8" s="9">
        <v>0.45833333333333331</v>
      </c>
    </row>
    <row r="9" spans="1:10" x14ac:dyDescent="0.25">
      <c r="A9" s="1" t="s">
        <v>5</v>
      </c>
      <c r="B9" s="1" t="s">
        <v>93</v>
      </c>
      <c r="C9" s="1" t="s">
        <v>7</v>
      </c>
      <c r="D9" s="9">
        <f>D8-$H$1</f>
        <v>0.45208333333333334</v>
      </c>
    </row>
    <row r="10" spans="1:10" x14ac:dyDescent="0.25">
      <c r="A10" s="1" t="s">
        <v>5</v>
      </c>
      <c r="B10" s="1" t="s">
        <v>92</v>
      </c>
      <c r="C10" s="1" t="s">
        <v>7</v>
      </c>
      <c r="D10" s="9">
        <f t="shared" ref="D10:D18" si="1">D9-$H$1</f>
        <v>0.44583333333333336</v>
      </c>
      <c r="I10" s="32"/>
    </row>
    <row r="11" spans="1:10" x14ac:dyDescent="0.25">
      <c r="A11" s="1" t="s">
        <v>5</v>
      </c>
      <c r="B11" s="1" t="s">
        <v>91</v>
      </c>
      <c r="C11" s="1" t="s">
        <v>7</v>
      </c>
      <c r="D11" s="9">
        <f t="shared" si="1"/>
        <v>0.43958333333333338</v>
      </c>
    </row>
    <row r="12" spans="1:10" x14ac:dyDescent="0.25">
      <c r="A12" s="1" t="s">
        <v>5</v>
      </c>
      <c r="B12" s="1" t="s">
        <v>90</v>
      </c>
      <c r="C12" s="1" t="s">
        <v>7</v>
      </c>
      <c r="D12" s="9">
        <f t="shared" si="1"/>
        <v>0.4333333333333334</v>
      </c>
    </row>
    <row r="13" spans="1:10" x14ac:dyDescent="0.25">
      <c r="A13" s="1" t="s">
        <v>5</v>
      </c>
      <c r="B13" s="1" t="s">
        <v>89</v>
      </c>
      <c r="C13" s="1" t="s">
        <v>7</v>
      </c>
      <c r="D13" s="9">
        <f t="shared" si="1"/>
        <v>0.42708333333333343</v>
      </c>
    </row>
    <row r="14" spans="1:10" x14ac:dyDescent="0.25">
      <c r="A14" s="1" t="s">
        <v>5</v>
      </c>
      <c r="B14" s="1" t="s">
        <v>88</v>
      </c>
      <c r="C14" s="1" t="s">
        <v>7</v>
      </c>
      <c r="D14" s="9">
        <f t="shared" si="1"/>
        <v>0.42083333333333345</v>
      </c>
    </row>
    <row r="15" spans="1:10" x14ac:dyDescent="0.25">
      <c r="A15" s="1" t="s">
        <v>5</v>
      </c>
      <c r="B15" s="1" t="s">
        <v>87</v>
      </c>
      <c r="C15" s="1" t="s">
        <v>7</v>
      </c>
      <c r="D15" s="9">
        <f t="shared" si="1"/>
        <v>0.41458333333333347</v>
      </c>
    </row>
    <row r="16" spans="1:10" x14ac:dyDescent="0.25">
      <c r="A16" s="1" t="s">
        <v>5</v>
      </c>
      <c r="B16" s="1" t="s">
        <v>86</v>
      </c>
      <c r="C16" s="1" t="s">
        <v>7</v>
      </c>
      <c r="D16" s="9">
        <f t="shared" si="1"/>
        <v>0.40833333333333349</v>
      </c>
    </row>
    <row r="17" spans="1:4" x14ac:dyDescent="0.25">
      <c r="A17" s="1" t="s">
        <v>5</v>
      </c>
      <c r="B17" s="1" t="s">
        <v>85</v>
      </c>
      <c r="C17" s="1" t="s">
        <v>7</v>
      </c>
      <c r="D17" s="9">
        <f t="shared" si="1"/>
        <v>0.40208333333333351</v>
      </c>
    </row>
    <row r="18" spans="1:4" x14ac:dyDescent="0.25">
      <c r="A18" s="1" t="s">
        <v>5</v>
      </c>
      <c r="B18" s="1" t="s">
        <v>84</v>
      </c>
      <c r="C18" s="1" t="s">
        <v>7</v>
      </c>
      <c r="D18" s="9">
        <f t="shared" si="1"/>
        <v>0.39583333333333354</v>
      </c>
    </row>
    <row r="19" spans="1:4" x14ac:dyDescent="0.25">
      <c r="A19" s="1" t="s">
        <v>6</v>
      </c>
      <c r="B19" s="1" t="s">
        <v>83</v>
      </c>
      <c r="C19" s="1" t="s">
        <v>7</v>
      </c>
      <c r="D19" s="9">
        <v>0.45833333333333331</v>
      </c>
    </row>
    <row r="20" spans="1:4" x14ac:dyDescent="0.25">
      <c r="A20" s="1" t="s">
        <v>6</v>
      </c>
      <c r="B20" s="1" t="s">
        <v>82</v>
      </c>
      <c r="C20" s="1" t="s">
        <v>7</v>
      </c>
      <c r="D20" s="9">
        <f>D19-$H$1</f>
        <v>0.45208333333333334</v>
      </c>
    </row>
    <row r="21" spans="1:4" x14ac:dyDescent="0.25">
      <c r="A21" s="1" t="s">
        <v>6</v>
      </c>
      <c r="B21" s="1" t="s">
        <v>81</v>
      </c>
      <c r="C21" s="1" t="s">
        <v>7</v>
      </c>
      <c r="D21" s="9">
        <f t="shared" ref="D21:D27" si="2">D20-$H$1</f>
        <v>0.44583333333333336</v>
      </c>
    </row>
    <row r="22" spans="1:4" x14ac:dyDescent="0.25">
      <c r="A22" s="1" t="s">
        <v>6</v>
      </c>
      <c r="B22" s="1" t="s">
        <v>80</v>
      </c>
      <c r="C22" s="1" t="s">
        <v>7</v>
      </c>
      <c r="D22" s="9">
        <f t="shared" si="2"/>
        <v>0.43958333333333338</v>
      </c>
    </row>
    <row r="23" spans="1:4" x14ac:dyDescent="0.25">
      <c r="A23" s="1" t="s">
        <v>6</v>
      </c>
      <c r="B23" s="1" t="s">
        <v>79</v>
      </c>
      <c r="C23" s="1" t="s">
        <v>7</v>
      </c>
      <c r="D23" s="9">
        <f t="shared" si="2"/>
        <v>0.4333333333333334</v>
      </c>
    </row>
    <row r="24" spans="1:4" x14ac:dyDescent="0.25">
      <c r="A24" s="1" t="s">
        <v>6</v>
      </c>
      <c r="B24" s="1" t="s">
        <v>78</v>
      </c>
      <c r="C24" s="1" t="s">
        <v>7</v>
      </c>
      <c r="D24" s="9">
        <f t="shared" si="2"/>
        <v>0.42708333333333343</v>
      </c>
    </row>
    <row r="25" spans="1:4" x14ac:dyDescent="0.25">
      <c r="A25" s="1" t="s">
        <v>6</v>
      </c>
      <c r="B25" s="1" t="s">
        <v>77</v>
      </c>
      <c r="C25" s="1" t="s">
        <v>7</v>
      </c>
      <c r="D25" s="9">
        <f t="shared" si="2"/>
        <v>0.42083333333333345</v>
      </c>
    </row>
    <row r="26" spans="1:4" x14ac:dyDescent="0.25">
      <c r="A26" s="1" t="s">
        <v>6</v>
      </c>
      <c r="B26" s="1" t="s">
        <v>76</v>
      </c>
      <c r="C26" s="1" t="s">
        <v>7</v>
      </c>
      <c r="D26" s="9">
        <f t="shared" si="2"/>
        <v>0.41458333333333347</v>
      </c>
    </row>
    <row r="27" spans="1:4" x14ac:dyDescent="0.25">
      <c r="A27" s="1" t="s">
        <v>6</v>
      </c>
      <c r="B27" s="1" t="s">
        <v>75</v>
      </c>
      <c r="C27" s="1" t="s">
        <v>7</v>
      </c>
      <c r="D27" s="9">
        <f t="shared" si="2"/>
        <v>0.40833333333333349</v>
      </c>
    </row>
    <row r="28" spans="1:4" x14ac:dyDescent="0.25">
      <c r="A28" s="1" t="s">
        <v>7</v>
      </c>
      <c r="B28" s="1" t="s">
        <v>74</v>
      </c>
      <c r="C28" s="1" t="s">
        <v>7</v>
      </c>
      <c r="D28" s="9">
        <v>0.45833333333333331</v>
      </c>
    </row>
    <row r="29" spans="1:4" x14ac:dyDescent="0.25">
      <c r="A29" s="1" t="s">
        <v>9</v>
      </c>
      <c r="B29" s="1" t="s">
        <v>73</v>
      </c>
      <c r="C29" s="1" t="s">
        <v>7</v>
      </c>
      <c r="D29" s="9">
        <v>0.45833333333333331</v>
      </c>
    </row>
    <row r="30" spans="1:4" x14ac:dyDescent="0.25">
      <c r="A30" s="1" t="s">
        <v>9</v>
      </c>
      <c r="B30" s="1" t="s">
        <v>72</v>
      </c>
      <c r="C30" s="1" t="s">
        <v>7</v>
      </c>
      <c r="D30" s="9">
        <f>D29-$H$1</f>
        <v>0.45208333333333334</v>
      </c>
    </row>
    <row r="31" spans="1:4" x14ac:dyDescent="0.25">
      <c r="A31" s="1" t="s">
        <v>9</v>
      </c>
      <c r="B31" s="1" t="s">
        <v>71</v>
      </c>
      <c r="C31" s="1" t="s">
        <v>7</v>
      </c>
      <c r="D31" s="9">
        <f t="shared" ref="D31:D37" si="3">D30-$H$1</f>
        <v>0.44583333333333336</v>
      </c>
    </row>
    <row r="32" spans="1:4" x14ac:dyDescent="0.25">
      <c r="A32" s="1" t="s">
        <v>9</v>
      </c>
      <c r="B32" s="1" t="s">
        <v>70</v>
      </c>
      <c r="C32" s="1" t="s">
        <v>7</v>
      </c>
      <c r="D32" s="9">
        <f t="shared" si="3"/>
        <v>0.43958333333333338</v>
      </c>
    </row>
    <row r="33" spans="1:4" x14ac:dyDescent="0.25">
      <c r="A33" s="1" t="s">
        <v>9</v>
      </c>
      <c r="B33" s="1" t="s">
        <v>69</v>
      </c>
      <c r="C33" s="1" t="s">
        <v>7</v>
      </c>
      <c r="D33" s="9">
        <f t="shared" si="3"/>
        <v>0.4333333333333334</v>
      </c>
    </row>
    <row r="34" spans="1:4" x14ac:dyDescent="0.25">
      <c r="A34" s="1" t="s">
        <v>9</v>
      </c>
      <c r="B34" s="1" t="s">
        <v>68</v>
      </c>
      <c r="C34" s="1" t="s">
        <v>7</v>
      </c>
      <c r="D34" s="9">
        <f t="shared" si="3"/>
        <v>0.42708333333333343</v>
      </c>
    </row>
    <row r="35" spans="1:4" x14ac:dyDescent="0.25">
      <c r="A35" s="1" t="s">
        <v>9</v>
      </c>
      <c r="B35" s="1" t="s">
        <v>67</v>
      </c>
      <c r="C35" s="1" t="s">
        <v>7</v>
      </c>
      <c r="D35" s="9">
        <f t="shared" si="3"/>
        <v>0.42083333333333345</v>
      </c>
    </row>
    <row r="36" spans="1:4" x14ac:dyDescent="0.25">
      <c r="A36" s="1" t="s">
        <v>9</v>
      </c>
      <c r="B36" s="1" t="s">
        <v>66</v>
      </c>
      <c r="C36" s="1" t="s">
        <v>7</v>
      </c>
      <c r="D36" s="9">
        <f t="shared" si="3"/>
        <v>0.41458333333333347</v>
      </c>
    </row>
    <row r="37" spans="1:4" x14ac:dyDescent="0.25">
      <c r="A37" s="1" t="s">
        <v>9</v>
      </c>
      <c r="B37" s="1" t="s">
        <v>65</v>
      </c>
      <c r="C37" s="1" t="s">
        <v>7</v>
      </c>
      <c r="D37" s="9">
        <f t="shared" si="3"/>
        <v>0.40833333333333349</v>
      </c>
    </row>
    <row r="38" spans="1:4" x14ac:dyDescent="0.25">
      <c r="A38" s="1" t="s">
        <v>8</v>
      </c>
      <c r="B38" s="1" t="s">
        <v>64</v>
      </c>
      <c r="C38" s="1" t="s">
        <v>7</v>
      </c>
      <c r="D38" s="9">
        <v>0.45833333333333331</v>
      </c>
    </row>
    <row r="39" spans="1:4" x14ac:dyDescent="0.25">
      <c r="A39" s="1" t="s">
        <v>8</v>
      </c>
      <c r="B39" s="1" t="s">
        <v>63</v>
      </c>
      <c r="C39" s="1" t="s">
        <v>7</v>
      </c>
      <c r="D39" s="9">
        <f t="shared" ref="D39:D52" si="4">D38-$H$1</f>
        <v>0.45208333333333334</v>
      </c>
    </row>
    <row r="40" spans="1:4" x14ac:dyDescent="0.25">
      <c r="A40" s="1" t="s">
        <v>8</v>
      </c>
      <c r="B40" s="1" t="s">
        <v>62</v>
      </c>
      <c r="C40" s="1" t="s">
        <v>7</v>
      </c>
      <c r="D40" s="9">
        <f t="shared" si="4"/>
        <v>0.44583333333333336</v>
      </c>
    </row>
    <row r="41" spans="1:4" x14ac:dyDescent="0.25">
      <c r="A41" s="1" t="s">
        <v>11</v>
      </c>
      <c r="B41" s="1" t="s">
        <v>61</v>
      </c>
      <c r="C41" s="1" t="s">
        <v>7</v>
      </c>
      <c r="D41" s="9">
        <f t="shared" si="4"/>
        <v>0.43958333333333338</v>
      </c>
    </row>
    <row r="42" spans="1:4" x14ac:dyDescent="0.25">
      <c r="A42" s="1" t="s">
        <v>11</v>
      </c>
      <c r="B42" s="1" t="s">
        <v>60</v>
      </c>
      <c r="C42" s="1" t="s">
        <v>7</v>
      </c>
      <c r="D42" s="9">
        <f t="shared" si="4"/>
        <v>0.4333333333333334</v>
      </c>
    </row>
    <row r="43" spans="1:4" x14ac:dyDescent="0.25">
      <c r="A43" s="1" t="s">
        <v>11</v>
      </c>
      <c r="B43" s="1" t="s">
        <v>59</v>
      </c>
      <c r="C43" s="1" t="s">
        <v>7</v>
      </c>
      <c r="D43" s="9">
        <f t="shared" si="4"/>
        <v>0.42708333333333343</v>
      </c>
    </row>
    <row r="44" spans="1:4" x14ac:dyDescent="0.25">
      <c r="A44" s="1" t="s">
        <v>8</v>
      </c>
      <c r="B44" s="1" t="s">
        <v>58</v>
      </c>
      <c r="C44" s="1" t="s">
        <v>7</v>
      </c>
      <c r="D44" s="9">
        <f t="shared" si="4"/>
        <v>0.42083333333333345</v>
      </c>
    </row>
    <row r="45" spans="1:4" x14ac:dyDescent="0.25">
      <c r="A45" s="1" t="s">
        <v>8</v>
      </c>
      <c r="B45" s="1" t="s">
        <v>57</v>
      </c>
      <c r="C45" s="1" t="s">
        <v>7</v>
      </c>
      <c r="D45" s="9">
        <f t="shared" si="4"/>
        <v>0.41458333333333347</v>
      </c>
    </row>
    <row r="46" spans="1:4" x14ac:dyDescent="0.25">
      <c r="A46" s="1" t="s">
        <v>8</v>
      </c>
      <c r="B46" s="1" t="s">
        <v>56</v>
      </c>
      <c r="C46" s="1" t="s">
        <v>7</v>
      </c>
      <c r="D46" s="9">
        <f t="shared" si="4"/>
        <v>0.40833333333333349</v>
      </c>
    </row>
    <row r="47" spans="1:4" x14ac:dyDescent="0.25">
      <c r="A47" s="1" t="s">
        <v>8</v>
      </c>
      <c r="B47" s="1" t="s">
        <v>55</v>
      </c>
      <c r="C47" s="1" t="s">
        <v>7</v>
      </c>
      <c r="D47" s="9">
        <f t="shared" si="4"/>
        <v>0.40208333333333351</v>
      </c>
    </row>
    <row r="48" spans="1:4" x14ac:dyDescent="0.25">
      <c r="A48" s="1" t="s">
        <v>8</v>
      </c>
      <c r="B48" s="1" t="s">
        <v>54</v>
      </c>
      <c r="C48" s="1" t="s">
        <v>7</v>
      </c>
      <c r="D48" s="9">
        <f t="shared" si="4"/>
        <v>0.39583333333333354</v>
      </c>
    </row>
    <row r="49" spans="1:4" x14ac:dyDescent="0.25">
      <c r="A49" s="1" t="s">
        <v>8</v>
      </c>
      <c r="B49" s="1" t="s">
        <v>53</v>
      </c>
      <c r="C49" s="1" t="s">
        <v>7</v>
      </c>
      <c r="D49" s="9">
        <f t="shared" si="4"/>
        <v>0.38958333333333356</v>
      </c>
    </row>
    <row r="50" spans="1:4" x14ac:dyDescent="0.25">
      <c r="A50" s="1" t="s">
        <v>8</v>
      </c>
      <c r="B50" s="1" t="s">
        <v>52</v>
      </c>
      <c r="C50" s="1" t="s">
        <v>7</v>
      </c>
      <c r="D50" s="9">
        <f t="shared" si="4"/>
        <v>0.38333333333333358</v>
      </c>
    </row>
    <row r="51" spans="1:4" x14ac:dyDescent="0.25">
      <c r="A51" s="1" t="s">
        <v>8</v>
      </c>
      <c r="B51" s="1" t="s">
        <v>51</v>
      </c>
      <c r="C51" s="1" t="s">
        <v>7</v>
      </c>
      <c r="D51" s="9">
        <f t="shared" si="4"/>
        <v>0.3770833333333336</v>
      </c>
    </row>
    <row r="52" spans="1:4" x14ac:dyDescent="0.25">
      <c r="A52" s="1" t="s">
        <v>8</v>
      </c>
      <c r="B52" s="1" t="s">
        <v>50</v>
      </c>
      <c r="C52" s="1" t="s">
        <v>7</v>
      </c>
      <c r="D52" s="9">
        <f t="shared" si="4"/>
        <v>0.37083333333333363</v>
      </c>
    </row>
    <row r="53" spans="1:4" x14ac:dyDescent="0.25">
      <c r="A53" s="1" t="s">
        <v>101</v>
      </c>
      <c r="B53" s="1" t="s">
        <v>49</v>
      </c>
      <c r="C53" s="1" t="s">
        <v>7</v>
      </c>
      <c r="D53" s="9">
        <v>0.45833333333333331</v>
      </c>
    </row>
    <row r="54" spans="1:4" x14ac:dyDescent="0.25">
      <c r="A54" s="1" t="s">
        <v>11</v>
      </c>
      <c r="B54" s="1" t="s">
        <v>48</v>
      </c>
      <c r="C54" s="1" t="s">
        <v>7</v>
      </c>
      <c r="D54" s="9">
        <f>D52-$H$1</f>
        <v>0.36458333333333365</v>
      </c>
    </row>
    <row r="55" spans="1:4" x14ac:dyDescent="0.25">
      <c r="A55" s="1" t="s">
        <v>11</v>
      </c>
      <c r="B55" s="1" t="s">
        <v>47</v>
      </c>
      <c r="C55" s="1" t="s">
        <v>7</v>
      </c>
      <c r="D55" s="9">
        <f t="shared" ref="D55:D62" si="5">D54-$H$1</f>
        <v>0.35833333333333367</v>
      </c>
    </row>
    <row r="56" spans="1:4" x14ac:dyDescent="0.25">
      <c r="A56" s="1" t="s">
        <v>11</v>
      </c>
      <c r="B56" s="1" t="s">
        <v>46</v>
      </c>
      <c r="C56" s="1" t="s">
        <v>7</v>
      </c>
      <c r="D56" s="9">
        <f t="shared" si="5"/>
        <v>0.35208333333333369</v>
      </c>
    </row>
    <row r="57" spans="1:4" x14ac:dyDescent="0.25">
      <c r="A57" s="1" t="s">
        <v>11</v>
      </c>
      <c r="B57" s="1" t="s">
        <v>45</v>
      </c>
      <c r="C57" s="1" t="s">
        <v>7</v>
      </c>
      <c r="D57" s="9">
        <f t="shared" si="5"/>
        <v>0.34583333333333371</v>
      </c>
    </row>
    <row r="58" spans="1:4" x14ac:dyDescent="0.25">
      <c r="A58" s="1" t="s">
        <v>11</v>
      </c>
      <c r="B58" s="1" t="s">
        <v>44</v>
      </c>
      <c r="C58" s="1" t="s">
        <v>7</v>
      </c>
      <c r="D58" s="9">
        <f t="shared" si="5"/>
        <v>0.33958333333333374</v>
      </c>
    </row>
    <row r="59" spans="1:4" x14ac:dyDescent="0.25">
      <c r="A59" s="1" t="s">
        <v>11</v>
      </c>
      <c r="B59" s="1" t="s">
        <v>43</v>
      </c>
      <c r="C59" s="1" t="s">
        <v>7</v>
      </c>
      <c r="D59" s="9">
        <f t="shared" si="5"/>
        <v>0.33333333333333376</v>
      </c>
    </row>
    <row r="60" spans="1:4" x14ac:dyDescent="0.25">
      <c r="A60" s="1" t="s">
        <v>11</v>
      </c>
      <c r="B60" s="1" t="s">
        <v>42</v>
      </c>
      <c r="C60" s="1" t="s">
        <v>7</v>
      </c>
      <c r="D60" s="9">
        <f t="shared" si="5"/>
        <v>0.32708333333333378</v>
      </c>
    </row>
    <row r="61" spans="1:4" x14ac:dyDescent="0.25">
      <c r="A61" s="1" t="s">
        <v>109</v>
      </c>
      <c r="B61" s="1" t="s">
        <v>41</v>
      </c>
      <c r="C61" s="1" t="s">
        <v>7</v>
      </c>
      <c r="D61" s="9">
        <f t="shared" si="5"/>
        <v>0.3208333333333338</v>
      </c>
    </row>
    <row r="62" spans="1:4" x14ac:dyDescent="0.25">
      <c r="A62" s="1" t="s">
        <v>109</v>
      </c>
      <c r="B62" s="1" t="s">
        <v>40</v>
      </c>
      <c r="C62" s="1" t="s">
        <v>7</v>
      </c>
      <c r="D62" s="9">
        <f t="shared" si="5"/>
        <v>0.31458333333333383</v>
      </c>
    </row>
    <row r="63" spans="1:4" x14ac:dyDescent="0.25">
      <c r="A63" s="1" t="s">
        <v>10</v>
      </c>
      <c r="B63" s="1" t="s">
        <v>39</v>
      </c>
      <c r="C63" s="1" t="s">
        <v>7</v>
      </c>
      <c r="D63" s="9">
        <v>0.45833333333333331</v>
      </c>
    </row>
    <row r="64" spans="1:4" x14ac:dyDescent="0.25">
      <c r="A64" s="1" t="s">
        <v>10</v>
      </c>
      <c r="B64" s="1" t="s">
        <v>38</v>
      </c>
      <c r="C64" s="1" t="s">
        <v>7</v>
      </c>
      <c r="D64" s="9">
        <f>D63-$H$1</f>
        <v>0.45208333333333334</v>
      </c>
    </row>
    <row r="65" spans="1:4" x14ac:dyDescent="0.25">
      <c r="A65" s="1" t="s">
        <v>12</v>
      </c>
      <c r="B65" s="1" t="s">
        <v>37</v>
      </c>
      <c r="C65" s="1" t="s">
        <v>7</v>
      </c>
      <c r="D65" s="9">
        <f>D64-$H$1</f>
        <v>0.44583333333333336</v>
      </c>
    </row>
    <row r="66" spans="1:4" x14ac:dyDescent="0.25">
      <c r="A66" s="1" t="s">
        <v>12</v>
      </c>
      <c r="B66" s="1" t="s">
        <v>36</v>
      </c>
      <c r="C66" s="1" t="s">
        <v>7</v>
      </c>
      <c r="D66" s="9">
        <f>D65-$H$1</f>
        <v>0.43958333333333338</v>
      </c>
    </row>
    <row r="67" spans="1:4" x14ac:dyDescent="0.25">
      <c r="A67" s="1" t="s">
        <v>137</v>
      </c>
      <c r="B67" s="1" t="s">
        <v>35</v>
      </c>
      <c r="C67" s="1" t="s">
        <v>7</v>
      </c>
      <c r="D67" s="9">
        <f t="shared" ref="D67:D81" si="6">D66-$H$1</f>
        <v>0.4333333333333334</v>
      </c>
    </row>
    <row r="68" spans="1:4" x14ac:dyDescent="0.25">
      <c r="A68" s="1" t="s">
        <v>138</v>
      </c>
      <c r="B68" s="1" t="s">
        <v>34</v>
      </c>
      <c r="C68" s="1" t="s">
        <v>7</v>
      </c>
      <c r="D68" s="9">
        <f t="shared" si="6"/>
        <v>0.42708333333333343</v>
      </c>
    </row>
    <row r="69" spans="1:4" x14ac:dyDescent="0.25">
      <c r="A69" s="1" t="s">
        <v>136</v>
      </c>
      <c r="B69" s="1" t="s">
        <v>33</v>
      </c>
      <c r="C69" s="1" t="s">
        <v>7</v>
      </c>
      <c r="D69" s="9">
        <f t="shared" si="6"/>
        <v>0.42083333333333345</v>
      </c>
    </row>
    <row r="70" spans="1:4" x14ac:dyDescent="0.25">
      <c r="A70" s="1" t="s">
        <v>139</v>
      </c>
      <c r="B70" s="1" t="s">
        <v>32</v>
      </c>
      <c r="C70" s="1" t="s">
        <v>7</v>
      </c>
      <c r="D70" s="9">
        <f t="shared" si="6"/>
        <v>0.41458333333333347</v>
      </c>
    </row>
    <row r="71" spans="1:4" x14ac:dyDescent="0.25">
      <c r="A71" s="1" t="s">
        <v>135</v>
      </c>
      <c r="B71" s="1" t="s">
        <v>31</v>
      </c>
      <c r="C71" s="1" t="s">
        <v>7</v>
      </c>
      <c r="D71" s="9">
        <f t="shared" si="6"/>
        <v>0.40833333333333349</v>
      </c>
    </row>
    <row r="72" spans="1:4" x14ac:dyDescent="0.25">
      <c r="A72" s="1" t="s">
        <v>140</v>
      </c>
      <c r="B72" s="1" t="s">
        <v>30</v>
      </c>
      <c r="C72" s="1" t="s">
        <v>7</v>
      </c>
      <c r="D72" s="9">
        <f t="shared" si="6"/>
        <v>0.40208333333333351</v>
      </c>
    </row>
    <row r="73" spans="1:4" x14ac:dyDescent="0.25">
      <c r="A73" s="1" t="s">
        <v>141</v>
      </c>
      <c r="B73" s="1" t="s">
        <v>29</v>
      </c>
      <c r="C73" s="1" t="s">
        <v>7</v>
      </c>
      <c r="D73" s="9">
        <f t="shared" si="6"/>
        <v>0.39583333333333354</v>
      </c>
    </row>
    <row r="74" spans="1:4" x14ac:dyDescent="0.25">
      <c r="A74" s="1" t="s">
        <v>141</v>
      </c>
      <c r="B74" s="1" t="s">
        <v>28</v>
      </c>
      <c r="C74" s="1" t="s">
        <v>7</v>
      </c>
      <c r="D74" s="9">
        <f t="shared" si="6"/>
        <v>0.38958333333333356</v>
      </c>
    </row>
    <row r="75" spans="1:4" x14ac:dyDescent="0.25">
      <c r="A75" s="1" t="s">
        <v>142</v>
      </c>
      <c r="B75" s="1" t="s">
        <v>27</v>
      </c>
      <c r="C75" s="1" t="s">
        <v>7</v>
      </c>
      <c r="D75" s="9">
        <f t="shared" si="6"/>
        <v>0.38333333333333358</v>
      </c>
    </row>
    <row r="76" spans="1:4" x14ac:dyDescent="0.25">
      <c r="A76" s="1" t="s">
        <v>143</v>
      </c>
      <c r="B76" s="1" t="s">
        <v>26</v>
      </c>
      <c r="C76" s="1" t="s">
        <v>7</v>
      </c>
      <c r="D76" s="9">
        <f t="shared" si="6"/>
        <v>0.3770833333333336</v>
      </c>
    </row>
    <row r="77" spans="1:4" x14ac:dyDescent="0.25">
      <c r="A77" s="1" t="s">
        <v>143</v>
      </c>
      <c r="B77" s="1" t="s">
        <v>25</v>
      </c>
      <c r="C77" s="1" t="s">
        <v>7</v>
      </c>
      <c r="D77" s="9">
        <f t="shared" si="6"/>
        <v>0.37083333333333363</v>
      </c>
    </row>
    <row r="78" spans="1:4" x14ac:dyDescent="0.25">
      <c r="A78" s="1" t="s">
        <v>128</v>
      </c>
      <c r="B78" s="1" t="s">
        <v>24</v>
      </c>
      <c r="C78" s="1" t="s">
        <v>7</v>
      </c>
      <c r="D78" s="9">
        <f t="shared" si="6"/>
        <v>0.36458333333333365</v>
      </c>
    </row>
    <row r="79" spans="1:4" x14ac:dyDescent="0.25">
      <c r="A79" s="1" t="s">
        <v>129</v>
      </c>
      <c r="B79" s="1" t="s">
        <v>23</v>
      </c>
      <c r="C79" s="1" t="s">
        <v>7</v>
      </c>
      <c r="D79" s="9">
        <f t="shared" si="6"/>
        <v>0.35833333333333367</v>
      </c>
    </row>
    <row r="80" spans="1:4" x14ac:dyDescent="0.25">
      <c r="A80" s="1" t="s">
        <v>129</v>
      </c>
      <c r="B80" s="1" t="s">
        <v>22</v>
      </c>
      <c r="C80" s="1" t="s">
        <v>7</v>
      </c>
      <c r="D80" s="9">
        <f t="shared" si="6"/>
        <v>0.35208333333333369</v>
      </c>
    </row>
    <row r="81" spans="1:4" x14ac:dyDescent="0.25">
      <c r="A81" s="1" t="s">
        <v>129</v>
      </c>
      <c r="B81" s="1" t="s">
        <v>21</v>
      </c>
      <c r="C81" s="1" t="s">
        <v>7</v>
      </c>
      <c r="D81" s="9">
        <f t="shared" si="6"/>
        <v>0.34583333333333371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EB3B7-474D-4DC5-B995-4F5BD6C16D47}">
  <sheetPr codeName="Лист3">
    <pageSetUpPr fitToPage="1"/>
  </sheetPr>
  <dimension ref="A1:CJ108"/>
  <sheetViews>
    <sheetView tabSelected="1" zoomScale="70" zoomScaleNormal="70" zoomScaleSheetLayoutView="70" workbookViewId="0"/>
  </sheetViews>
  <sheetFormatPr defaultRowHeight="24.95" customHeight="1" x14ac:dyDescent="0.2"/>
  <cols>
    <col min="1" max="1" width="7.28515625" style="27" customWidth="1"/>
    <col min="2" max="2" width="36" style="47" customWidth="1"/>
    <col min="3" max="3" width="13" style="27" customWidth="1"/>
    <col min="4" max="4" width="14.85546875" style="27" customWidth="1"/>
    <col min="5" max="14" width="10.7109375" style="27" customWidth="1"/>
    <col min="15" max="15" width="13.85546875" style="27" customWidth="1"/>
    <col min="16" max="16" width="7.28515625" style="29" customWidth="1"/>
    <col min="17" max="18" width="4.7109375" style="29" customWidth="1"/>
    <col min="19" max="19" width="0.7109375" style="29" customWidth="1"/>
    <col min="20" max="21" width="4.7109375" style="29" customWidth="1"/>
    <col min="22" max="22" width="0.7109375" style="29" customWidth="1"/>
    <col min="23" max="24" width="4.7109375" style="29" customWidth="1"/>
    <col min="25" max="25" width="0.7109375" style="29" customWidth="1"/>
    <col min="26" max="26" width="8.7109375" style="29" customWidth="1"/>
    <col min="27" max="27" width="0.7109375" style="29" customWidth="1"/>
    <col min="28" max="28" width="8.7109375" style="29" customWidth="1"/>
    <col min="29" max="29" width="0.7109375" style="29" customWidth="1"/>
    <col min="30" max="30" width="8.7109375" style="29" customWidth="1"/>
    <col min="31" max="31" width="0.7109375" style="29" customWidth="1"/>
    <col min="32" max="32" width="8.7109375" style="29" customWidth="1"/>
    <col min="33" max="33" width="0.7109375" style="29" customWidth="1"/>
    <col min="34" max="34" width="8.7109375" style="29" customWidth="1"/>
    <col min="35" max="35" width="0.7109375" style="29" customWidth="1"/>
    <col min="36" max="36" width="8.7109375" style="29" customWidth="1"/>
    <col min="37" max="37" width="0.7109375" style="29" customWidth="1"/>
    <col min="38" max="38" width="8.7109375" style="29" customWidth="1"/>
    <col min="39" max="39" width="0.7109375" style="29" customWidth="1"/>
    <col min="40" max="40" width="8.7109375" style="29" customWidth="1"/>
    <col min="41" max="41" width="0.7109375" style="29" customWidth="1"/>
    <col min="42" max="42" width="8.7109375" style="29" customWidth="1"/>
    <col min="43" max="43" width="0.7109375" style="29" customWidth="1"/>
    <col min="44" max="44" width="8.7109375" style="29" customWidth="1"/>
    <col min="45" max="45" width="0.7109375" style="29" customWidth="1"/>
    <col min="46" max="46" width="8.7109375" style="29" customWidth="1"/>
    <col min="47" max="47" width="0.7109375" style="29" customWidth="1"/>
    <col min="48" max="48" width="8.7109375" style="29" customWidth="1"/>
    <col min="49" max="49" width="0.7109375" style="29" customWidth="1"/>
    <col min="50" max="50" width="8.7109375" style="29" customWidth="1"/>
    <col min="51" max="51" width="0.7109375" style="29" customWidth="1"/>
    <col min="52" max="52" width="8.7109375" style="29" customWidth="1"/>
    <col min="53" max="53" width="0.7109375" style="29" customWidth="1"/>
    <col min="54" max="54" width="8.7109375" style="29" customWidth="1"/>
    <col min="55" max="55" width="0.7109375" style="29" customWidth="1"/>
    <col min="56" max="56" width="8.7109375" style="29" customWidth="1"/>
    <col min="57" max="57" width="0.7109375" style="29" customWidth="1"/>
    <col min="58" max="58" width="8.7109375" style="29" customWidth="1"/>
    <col min="59" max="59" width="0.7109375" style="29" customWidth="1"/>
    <col min="60" max="60" width="8.7109375" style="29" customWidth="1"/>
    <col min="61" max="62" width="4.7109375" style="29" customWidth="1"/>
    <col min="63" max="63" width="0.7109375" style="29" customWidth="1"/>
    <col min="64" max="65" width="4.7109375" style="29" customWidth="1"/>
    <col min="66" max="66" width="0.7109375" style="29" customWidth="1"/>
    <col min="67" max="68" width="4.7109375" style="29" customWidth="1"/>
    <col min="69" max="69" width="0.7109375" style="29" customWidth="1"/>
    <col min="70" max="71" width="4.7109375" style="29" customWidth="1"/>
    <col min="72" max="72" width="0.7109375" style="29" customWidth="1"/>
    <col min="73" max="74" width="4.7109375" style="29" customWidth="1"/>
    <col min="75" max="75" width="0.7109375" style="29" customWidth="1"/>
    <col min="76" max="77" width="4.7109375" style="29" customWidth="1"/>
    <col min="78" max="78" width="7.42578125" style="29" customWidth="1"/>
    <col min="79" max="79" width="9.140625" style="27"/>
    <col min="80" max="80" width="18" style="29" customWidth="1"/>
    <col min="81" max="81" width="12.85546875" style="29" customWidth="1"/>
    <col min="82" max="82" width="14.85546875" style="29" customWidth="1"/>
    <col min="83" max="88" width="13.28515625" style="29" customWidth="1"/>
    <col min="89" max="99" width="13.28515625" style="27" customWidth="1"/>
    <col min="100" max="16384" width="9.140625" style="27"/>
  </cols>
  <sheetData>
    <row r="1" spans="1:82" ht="33.75" customHeight="1" thickBot="1" x14ac:dyDescent="0.3">
      <c r="B1" s="103" t="s">
        <v>221</v>
      </c>
      <c r="C1" s="103" t="s">
        <v>229</v>
      </c>
      <c r="D1" s="136" t="s">
        <v>336</v>
      </c>
      <c r="F1" s="171" t="s">
        <v>295</v>
      </c>
      <c r="G1" s="171"/>
      <c r="H1" s="171"/>
      <c r="I1" s="171"/>
      <c r="J1" s="171"/>
      <c r="P1" s="28" t="s">
        <v>112</v>
      </c>
      <c r="Q1" s="185">
        <f ca="1">TODAY()</f>
        <v>45839</v>
      </c>
      <c r="R1" s="185"/>
      <c r="S1" s="185"/>
      <c r="T1" s="185"/>
      <c r="U1" s="186" t="s">
        <v>246</v>
      </c>
      <c r="V1" s="186"/>
      <c r="W1" s="186"/>
      <c r="X1" s="186"/>
      <c r="Y1" s="186"/>
      <c r="Z1" s="186"/>
      <c r="AA1" s="186"/>
      <c r="AB1" s="186"/>
      <c r="AC1" s="25"/>
      <c r="AD1" s="214">
        <f ca="1">NOW()</f>
        <v>45839.673177199074</v>
      </c>
      <c r="AE1" s="214"/>
      <c r="AF1" s="214"/>
      <c r="AG1" s="25"/>
      <c r="AH1" s="25"/>
      <c r="AI1" s="25"/>
      <c r="AJ1" s="25"/>
      <c r="AK1" s="25"/>
      <c r="AL1" s="137" t="s">
        <v>110</v>
      </c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  <c r="BC1" s="25"/>
      <c r="BD1" s="25"/>
      <c r="BE1" s="25"/>
      <c r="BF1" s="25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25"/>
      <c r="BU1" s="25"/>
      <c r="BV1" s="25"/>
      <c r="BW1" s="138"/>
      <c r="BX1" s="138"/>
      <c r="BY1" s="138"/>
      <c r="BZ1" s="138"/>
      <c r="CC1" s="112" t="s">
        <v>355</v>
      </c>
      <c r="CD1" s="109" t="s">
        <v>337</v>
      </c>
    </row>
    <row r="2" spans="1:82" ht="24.95" customHeight="1" x14ac:dyDescent="0.25">
      <c r="A2" s="178" t="s">
        <v>146</v>
      </c>
      <c r="B2" s="126" t="s">
        <v>217</v>
      </c>
      <c r="C2" s="51">
        <v>1</v>
      </c>
      <c r="D2" s="139" t="str">
        <f>_xlfn.IFNA(VLOOKUP(MID(_xlfn.XLOOKUP(C2,'Машины на заводе'!$B$3:$B$1000,'Машины на заводе'!$F$3:$F$1000,"",,-1),3,1),$CC$1:$CD$5,2,0),"")</f>
        <v>ККС</v>
      </c>
      <c r="F2" s="101" t="s">
        <v>146</v>
      </c>
      <c r="G2" s="101" t="s">
        <v>289</v>
      </c>
      <c r="H2" s="101" t="s">
        <v>292</v>
      </c>
      <c r="I2" s="101" t="s">
        <v>290</v>
      </c>
      <c r="J2" s="101" t="s">
        <v>291</v>
      </c>
      <c r="P2" s="25"/>
      <c r="Q2" s="218" t="s">
        <v>271</v>
      </c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8"/>
      <c r="AD2" s="218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33"/>
      <c r="BJ2" s="33"/>
      <c r="BK2" s="33"/>
      <c r="BL2" s="30"/>
      <c r="BM2" s="30"/>
      <c r="BN2" s="30"/>
      <c r="BO2" s="30"/>
      <c r="BP2" s="30"/>
      <c r="BQ2" s="30"/>
      <c r="BR2" s="30"/>
      <c r="BS2" s="30"/>
      <c r="BT2" s="30"/>
      <c r="BU2" s="30"/>
      <c r="BV2" s="30"/>
      <c r="BW2" s="138"/>
      <c r="BX2" s="138"/>
      <c r="BY2" s="138"/>
      <c r="BZ2" s="138"/>
      <c r="CC2" s="113" t="s">
        <v>356</v>
      </c>
      <c r="CD2" s="110" t="s">
        <v>348</v>
      </c>
    </row>
    <row r="3" spans="1:82" ht="24.95" customHeight="1" x14ac:dyDescent="0.2">
      <c r="A3" s="179"/>
      <c r="B3" s="126" t="s">
        <v>216</v>
      </c>
      <c r="C3" s="51">
        <v>1</v>
      </c>
      <c r="D3" s="139" t="str">
        <f>_xlfn.IFNA(VLOOKUP(MID(_xlfn.XLOOKUP(C3,'Машины на заводе'!$B$3:$B$1000,'Машины на заводе'!$F$3:$F$1000,"",,-1),3,1),$CC$1:$CD$5,2,0),"")</f>
        <v>ККС</v>
      </c>
      <c r="F3" s="105" cm="1">
        <f t="array" ref="F3">IFERROR(INDEX('Машины на заводе'!$B$1:$B$1000,LARGE(IF(IF('Машины на заводе'!$H$4:$H$1000="",1,0)+IF('Машины на заводе'!$G$4:$G$1000&lt;&gt;"",1,0)=2,ROW('Машины на заводе'!$A$4:$A$1000)),ROW(B1))),"")</f>
        <v>50</v>
      </c>
      <c r="G3" s="105" cm="1">
        <f t="array" ref="G3">IFERROR(INDEX('Машины на заводе'!$B$1:$B$1000,LARGE(IF(IF('Машины на заводе'!$J$4:$J$1000="",1,0)+IF('Машины на заводе'!$I$4:$I$1000&lt;&gt;"",1,0)=2,ROW('Машины на заводе'!$A$4:$A$1000)),ROW(B1))),"")</f>
        <v>44</v>
      </c>
      <c r="H3" s="105" cm="1">
        <f t="array" ref="H3">IFERROR(INDEX('Машины на заводе'!$B$1:$B$1000,LARGE(IF(IF('Машины на заводе'!$M$4:$M$1000="",1,0)+IF('Машины на заводе'!$L$4:$L$1000&lt;&gt;"",1,0)=2,ROW('Машины на заводе'!$A$4:$A$1000)),ROW(B1))),"")</f>
        <v>18</v>
      </c>
      <c r="I3" s="105" cm="1">
        <f t="array" ref="I3">IFERROR(INDEX('Машины на заводе'!$B$1:$B$1000,LARGE(IF(IF('Машины на заводе'!$M$4:$M$1000="",1,0)+IF('Машины на заводе'!$K$4:$K$1000&lt;&gt;"",1,0)=2,ROW('Машины на заводе'!$A$4:$A$1000)),ROW(B1))),"")</f>
        <v>26</v>
      </c>
      <c r="J3" s="105" cm="1">
        <f t="array" ref="J3">IFERROR(INDEX('Машины на заводе'!$B$1:$B$1000,LARGE(IF(IF('Машины на заводе'!$N$4:$N$1000="",1,0)+IF('Машины на заводе'!$M$4:$M$1000&lt;&gt;"",1,0)=2,ROW('Машины на заводе'!$A$4:$A$1000)),ROW(B1))),"")</f>
        <v>7</v>
      </c>
      <c r="L3" s="213" t="s">
        <v>236</v>
      </c>
      <c r="M3" s="213"/>
      <c r="N3" s="213"/>
      <c r="P3" s="28"/>
      <c r="Q3" s="188">
        <f>IF(C79="","",C79)</f>
        <v>1</v>
      </c>
      <c r="R3" s="189"/>
      <c r="S3" s="28"/>
      <c r="T3" s="188">
        <f>IF(C80="","",C80)</f>
        <v>1</v>
      </c>
      <c r="U3" s="189"/>
      <c r="V3" s="28"/>
      <c r="W3" s="188">
        <f>IF(C81="","",C81)</f>
        <v>1</v>
      </c>
      <c r="X3" s="189"/>
      <c r="Y3" s="28"/>
      <c r="Z3" s="60">
        <f>IF(C82="","",C82)</f>
        <v>1</v>
      </c>
      <c r="AA3" s="28"/>
      <c r="AB3" s="60">
        <f>IF(C83="","",C83)</f>
        <v>1</v>
      </c>
      <c r="AC3" s="28"/>
      <c r="AD3" s="60">
        <f>IF(C84="","",C84)</f>
        <v>1</v>
      </c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5"/>
      <c r="BC3" s="25"/>
      <c r="BD3" s="25"/>
      <c r="BE3" s="25"/>
      <c r="BF3" s="25"/>
      <c r="BG3" s="25"/>
      <c r="BH3" s="25"/>
      <c r="BI3" s="203">
        <f>IF(C73="","",C73)</f>
        <v>1</v>
      </c>
      <c r="BJ3" s="194" t="str">
        <f>D73</f>
        <v>Самосвал</v>
      </c>
      <c r="BK3" s="40"/>
      <c r="BL3" s="200">
        <f>IF(C74="","",C74)</f>
        <v>1</v>
      </c>
      <c r="BM3" s="197" t="str">
        <f>D74</f>
        <v>Самосвал</v>
      </c>
      <c r="BN3" s="42"/>
      <c r="BO3" s="200">
        <f>IF(C75="","",C75)</f>
        <v>1</v>
      </c>
      <c r="BP3" s="197" t="str">
        <f>D75</f>
        <v>Самосвал</v>
      </c>
      <c r="BQ3" s="42"/>
      <c r="BR3" s="200">
        <f>IF(C76="","",C76)</f>
        <v>1</v>
      </c>
      <c r="BS3" s="197" t="str">
        <f>D76</f>
        <v>Самосвал</v>
      </c>
      <c r="BT3" s="42"/>
      <c r="BU3" s="200">
        <f>IF(C77="","",C77)</f>
        <v>1</v>
      </c>
      <c r="BV3" s="197" t="str">
        <f>D77</f>
        <v>Самосвал</v>
      </c>
      <c r="BW3" s="28"/>
      <c r="BX3" s="200">
        <f>IF(C78="","",C78)</f>
        <v>1</v>
      </c>
      <c r="BY3" s="197" t="str">
        <f>D78</f>
        <v>Самосвал</v>
      </c>
      <c r="BZ3" s="28"/>
      <c r="CC3" s="113" t="s">
        <v>357</v>
      </c>
      <c r="CD3" s="110" t="s">
        <v>349</v>
      </c>
    </row>
    <row r="4" spans="1:82" ht="24.95" customHeight="1" x14ac:dyDescent="0.2">
      <c r="A4" s="179"/>
      <c r="B4" s="126" t="s">
        <v>215</v>
      </c>
      <c r="C4" s="51">
        <v>1</v>
      </c>
      <c r="D4" s="139" t="str">
        <f>_xlfn.IFNA(VLOOKUP(MID(_xlfn.XLOOKUP(C4,'Машины на заводе'!$B$3:$B$1000,'Машины на заводе'!$F$3:$F$1000,"",,-1),3,1),$CC$1:$CD$5,2,0),"")</f>
        <v>ККС</v>
      </c>
      <c r="F4" s="105" cm="1">
        <f t="array" ref="F4">IFERROR(INDEX('Машины на заводе'!$B$1:$B$1000,LARGE(IF(IF('Машины на заводе'!$H$4:$H$1000="",1,0)+IF('Машины на заводе'!$G$4:$G$1000&lt;&gt;"",1,0)=2,ROW('Машины на заводе'!$A$4:$A$1000)),ROW(B2))),"")</f>
        <v>49</v>
      </c>
      <c r="G4" s="105" cm="1">
        <f t="array" ref="G4">IFERROR(INDEX('Машины на заводе'!$B$1:$B$1000,LARGE(IF(IF('Машины на заводе'!$J$4:$J$1000="",1,0)+IF('Машины на заводе'!$I$4:$I$1000&lt;&gt;"",1,0)=2,ROW('Машины на заводе'!$A$4:$A$1000)),ROW(B2))),"")</f>
        <v>43</v>
      </c>
      <c r="H4" s="105" cm="1">
        <f t="array" ref="H4">IFERROR(INDEX('Машины на заводе'!$B$1:$B$1000,LARGE(IF(IF('Машины на заводе'!$M$4:$M$1000="",1,0)+IF('Машины на заводе'!$L$4:$L$1000&lt;&gt;"",1,0)=2,ROW('Машины на заводе'!$A$4:$A$1000)),ROW(B2))),"")</f>
        <v>17</v>
      </c>
      <c r="I4" s="105" cm="1">
        <f t="array" ref="I4">IFERROR(INDEX('Машины на заводе'!$B$1:$B$1000,LARGE(IF(IF('Машины на заводе'!$M$4:$M$1000="",1,0)+IF('Машины на заводе'!$K$4:$K$1000&lt;&gt;"",1,0)=2,ROW('Машины на заводе'!$A$4:$A$1000)),ROW(B2))),"")</f>
        <v>25</v>
      </c>
      <c r="J4" s="105" cm="1">
        <f t="array" ref="J4">IFERROR(INDEX('Машины на заводе'!$B$1:$B$1000,LARGE(IF(IF('Машины на заводе'!$N$4:$N$1000="",1,0)+IF('Машины на заводе'!$M$4:$M$1000&lt;&gt;"",1,0)=2,ROW('Машины на заводе'!$A$4:$A$1000)),ROW(B2))),"")</f>
        <v>6</v>
      </c>
      <c r="L4" s="213"/>
      <c r="M4" s="213"/>
      <c r="N4" s="213"/>
      <c r="P4" s="28"/>
      <c r="Q4" s="188">
        <f>IF(C85="","",C85)</f>
        <v>1</v>
      </c>
      <c r="R4" s="189"/>
      <c r="S4" s="28"/>
      <c r="T4" s="188">
        <f>IF(C86="","",C86)</f>
        <v>1</v>
      </c>
      <c r="U4" s="189"/>
      <c r="V4" s="28"/>
      <c r="W4" s="188">
        <v>1</v>
      </c>
      <c r="X4" s="189"/>
      <c r="Y4" s="28"/>
      <c r="Z4" s="60">
        <f>IF(C88="","",C88)</f>
        <v>1</v>
      </c>
      <c r="AA4" s="28"/>
      <c r="AB4" s="60">
        <f>IF(C89="","",C89)</f>
        <v>1</v>
      </c>
      <c r="AC4" s="28"/>
      <c r="AD4" s="60">
        <f>IF(C90="","",C90)</f>
        <v>1</v>
      </c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04"/>
      <c r="BJ4" s="195"/>
      <c r="BK4" s="40"/>
      <c r="BL4" s="201"/>
      <c r="BM4" s="198"/>
      <c r="BN4" s="40"/>
      <c r="BO4" s="201"/>
      <c r="BP4" s="198"/>
      <c r="BQ4" s="40"/>
      <c r="BR4" s="201"/>
      <c r="BS4" s="198"/>
      <c r="BT4" s="40"/>
      <c r="BU4" s="201"/>
      <c r="BV4" s="198"/>
      <c r="BW4" s="28"/>
      <c r="BX4" s="201"/>
      <c r="BY4" s="198"/>
      <c r="BZ4" s="28"/>
      <c r="CC4" s="113" t="s">
        <v>358</v>
      </c>
      <c r="CD4" s="110" t="s">
        <v>350</v>
      </c>
    </row>
    <row r="5" spans="1:82" ht="24.95" customHeight="1" thickBot="1" x14ac:dyDescent="0.25">
      <c r="A5" s="179"/>
      <c r="B5" s="126" t="s">
        <v>214</v>
      </c>
      <c r="C5" s="51">
        <v>1</v>
      </c>
      <c r="D5" s="139" t="str">
        <f>_xlfn.IFNA(VLOOKUP(MID(_xlfn.XLOOKUP(C5,'Машины на заводе'!$B$3:$B$1000,'Машины на заводе'!$F$3:$F$1000,"",,-1),3,1),$CC$1:$CD$5,2,0),"")</f>
        <v>ККС</v>
      </c>
      <c r="F5" s="105" cm="1">
        <f t="array" ref="F5">IFERROR(INDEX('Машины на заводе'!$B$1:$B$1000,LARGE(IF(IF('Машины на заводе'!$H$4:$H$1000="",1,0)+IF('Машины на заводе'!$G$4:$G$1000&lt;&gt;"",1,0)=2,ROW('Машины на заводе'!$A$4:$A$1000)),ROW(B3))),"")</f>
        <v>48</v>
      </c>
      <c r="G5" s="105" cm="1">
        <f t="array" ref="G5">IFERROR(INDEX('Машины на заводе'!$B$1:$B$1000,LARGE(IF(IF('Машины на заводе'!$J$4:$J$1000="",1,0)+IF('Машины на заводе'!$I$4:$I$1000&lt;&gt;"",1,0)=2,ROW('Машины на заводе'!$A$4:$A$1000)),ROW(B3))),"")</f>
        <v>42</v>
      </c>
      <c r="H5" s="105" cm="1">
        <f t="array" ref="H5">IFERROR(INDEX('Машины на заводе'!$B$1:$B$1000,LARGE(IF(IF('Машины на заводе'!$M$4:$M$1000="",1,0)+IF('Машины на заводе'!$L$4:$L$1000&lt;&gt;"",1,0)=2,ROW('Машины на заводе'!$A$4:$A$1000)),ROW(B3))),"")</f>
        <v>16</v>
      </c>
      <c r="I5" s="105" cm="1">
        <f t="array" ref="I5">IFERROR(INDEX('Машины на заводе'!$B$1:$B$1000,LARGE(IF(IF('Машины на заводе'!$M$4:$M$1000="",1,0)+IF('Машины на заводе'!$K$4:$K$1000&lt;&gt;"",1,0)=2,ROW('Машины на заводе'!$A$4:$A$1000)),ROW(B3))),"")</f>
        <v>24</v>
      </c>
      <c r="J5" s="105" cm="1">
        <f t="array" ref="J5">IFERROR(INDEX('Машины на заводе'!$B$1:$B$1000,LARGE(IF(IF('Машины на заводе'!$N$4:$N$1000="",1,0)+IF('Машины на заводе'!$M$4:$M$1000&lt;&gt;"",1,0)=2,ROW('Машины на заводе'!$A$4:$A$1000)),ROW(B3))),"")</f>
        <v>5</v>
      </c>
      <c r="L5" s="175" t="s">
        <v>238</v>
      </c>
      <c r="M5" s="175"/>
      <c r="N5" s="175"/>
      <c r="P5" s="28"/>
      <c r="Q5" s="188">
        <f>IF(C91="","",C91)</f>
        <v>1</v>
      </c>
      <c r="R5" s="189"/>
      <c r="S5" s="28"/>
      <c r="T5" s="188">
        <f>IF(C92="","",C92)</f>
        <v>1</v>
      </c>
      <c r="U5" s="189"/>
      <c r="V5" s="28"/>
      <c r="W5" s="188">
        <f>IF(C93="","",C93)</f>
        <v>1</v>
      </c>
      <c r="X5" s="189"/>
      <c r="Y5" s="28"/>
      <c r="Z5" s="60">
        <f>IF(C94="","",C94)</f>
        <v>1</v>
      </c>
      <c r="AA5" s="28"/>
      <c r="AB5" s="60">
        <f>IF(C95="","",C95)</f>
        <v>1</v>
      </c>
      <c r="AC5" s="28"/>
      <c r="AD5" s="60">
        <f>IF(C96="","",C96)</f>
        <v>1</v>
      </c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04"/>
      <c r="BJ5" s="195"/>
      <c r="BK5" s="40"/>
      <c r="BL5" s="201"/>
      <c r="BM5" s="198"/>
      <c r="BN5" s="40"/>
      <c r="BO5" s="201"/>
      <c r="BP5" s="198"/>
      <c r="BQ5" s="40"/>
      <c r="BR5" s="201"/>
      <c r="BS5" s="198"/>
      <c r="BT5" s="40"/>
      <c r="BU5" s="201"/>
      <c r="BV5" s="198"/>
      <c r="BW5" s="25"/>
      <c r="BX5" s="201"/>
      <c r="BY5" s="198"/>
      <c r="BZ5" s="25"/>
      <c r="CC5" s="114" t="s">
        <v>359</v>
      </c>
      <c r="CD5" s="111" t="s">
        <v>351</v>
      </c>
    </row>
    <row r="6" spans="1:82" ht="24.95" customHeight="1" x14ac:dyDescent="0.2">
      <c r="A6" s="179"/>
      <c r="B6" s="126" t="s">
        <v>293</v>
      </c>
      <c r="C6" s="51">
        <v>1</v>
      </c>
      <c r="D6" s="139" t="str">
        <f>_xlfn.IFNA(VLOOKUP(MID(_xlfn.XLOOKUP(C6,'Машины на заводе'!$B$3:$B$1000,'Машины на заводе'!$F$3:$F$1000,"",,-1),3,1),$CC$1:$CD$5,2,0),"")</f>
        <v>ККС</v>
      </c>
      <c r="F6" s="105" cm="1">
        <f t="array" ref="F6">IFERROR(INDEX('Машины на заводе'!$B$1:$B$1000,LARGE(IF(IF('Машины на заводе'!$H$4:$H$1000="",1,0)+IF('Машины на заводе'!$G$4:$G$1000&lt;&gt;"",1,0)=2,ROW('Машины на заводе'!$A$4:$A$1000)),ROW(B4))),"")</f>
        <v>47</v>
      </c>
      <c r="G6" s="105" cm="1">
        <f t="array" ref="G6">IFERROR(INDEX('Машины на заводе'!$B$1:$B$1000,LARGE(IF(IF('Машины на заводе'!$J$4:$J$1000="",1,0)+IF('Машины на заводе'!$I$4:$I$1000&lt;&gt;"",1,0)=2,ROW('Машины на заводе'!$A$4:$A$1000)),ROW(B4))),"")</f>
        <v>41</v>
      </c>
      <c r="H6" s="105" cm="1">
        <f t="array" ref="H6">IFERROR(INDEX('Машины на заводе'!$B$1:$B$1000,LARGE(IF(IF('Машины на заводе'!$M$4:$M$1000="",1,0)+IF('Машины на заводе'!$L$4:$L$1000&lt;&gt;"",1,0)=2,ROW('Машины на заводе'!$A$4:$A$1000)),ROW(B4))),"")</f>
        <v>15</v>
      </c>
      <c r="I6" s="105" cm="1">
        <f t="array" ref="I6">IFERROR(INDEX('Машины на заводе'!$B$1:$B$1000,LARGE(IF(IF('Машины на заводе'!$M$4:$M$1000="",1,0)+IF('Машины на заводе'!$K$4:$K$1000&lt;&gt;"",1,0)=2,ROW('Машины на заводе'!$A$4:$A$1000)),ROW(B4))),"")</f>
        <v>23</v>
      </c>
      <c r="J6" s="105" cm="1">
        <f t="array" ref="J6">IFERROR(INDEX('Машины на заводе'!$B$1:$B$1000,LARGE(IF(IF('Машины на заводе'!$N$4:$N$1000="",1,0)+IF('Машины на заводе'!$M$4:$M$1000&lt;&gt;"",1,0)=2,ROW('Машины на заводе'!$A$4:$A$1000)),ROW(B4))),"")</f>
        <v>4</v>
      </c>
      <c r="K6" s="27">
        <v>1</v>
      </c>
      <c r="L6" s="175"/>
      <c r="M6" s="175"/>
      <c r="N6" s="175"/>
      <c r="P6" s="28"/>
      <c r="Q6" s="188">
        <f>IF(C97="","",C97)</f>
        <v>1</v>
      </c>
      <c r="R6" s="189"/>
      <c r="S6" s="28"/>
      <c r="T6" s="188">
        <f>IF(C98="","",C98)</f>
        <v>1</v>
      </c>
      <c r="U6" s="189"/>
      <c r="V6" s="28"/>
      <c r="W6" s="188">
        <f>IF(C99="","",C99)</f>
        <v>1</v>
      </c>
      <c r="X6" s="189"/>
      <c r="Y6" s="28"/>
      <c r="Z6" s="60">
        <f>IF(C100="","",C100)</f>
        <v>1</v>
      </c>
      <c r="AA6" s="28"/>
      <c r="AB6" s="60">
        <f>IF(C101="","",C101)</f>
        <v>1</v>
      </c>
      <c r="AC6" s="28"/>
      <c r="AD6" s="60">
        <f>IF(C102="","",C102)</f>
        <v>1</v>
      </c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05"/>
      <c r="BJ6" s="196"/>
      <c r="BK6" s="40"/>
      <c r="BL6" s="202"/>
      <c r="BM6" s="199"/>
      <c r="BN6" s="40"/>
      <c r="BO6" s="202"/>
      <c r="BP6" s="199"/>
      <c r="BQ6" s="40"/>
      <c r="BR6" s="202"/>
      <c r="BS6" s="199"/>
      <c r="BT6" s="40"/>
      <c r="BU6" s="202"/>
      <c r="BV6" s="199"/>
      <c r="BW6" s="25"/>
      <c r="BX6" s="202"/>
      <c r="BY6" s="199"/>
      <c r="BZ6" s="25"/>
    </row>
    <row r="7" spans="1:82" ht="24.95" customHeight="1" thickBot="1" x14ac:dyDescent="0.25">
      <c r="A7" s="180"/>
      <c r="B7" s="126" t="s">
        <v>294</v>
      </c>
      <c r="C7" s="51">
        <v>1</v>
      </c>
      <c r="D7" s="139" t="str">
        <f>_xlfn.IFNA(VLOOKUP(MID(_xlfn.XLOOKUP(C7,'Машины на заводе'!$B$3:$B$1000,'Машины на заводе'!$F$3:$F$1000,"",,-1),3,1),$CC$1:$CD$5,2,0),"")</f>
        <v>ККС</v>
      </c>
      <c r="F7" s="105" cm="1">
        <f t="array" ref="F7">IFERROR(INDEX('Машины на заводе'!$B$1:$B$1000,LARGE(IF(IF('Машины на заводе'!$H$4:$H$1000="",1,0)+IF('Машины на заводе'!$G$4:$G$1000&lt;&gt;"",1,0)=2,ROW('Машины на заводе'!$A$4:$A$1000)),ROW(B5))),"")</f>
        <v>46</v>
      </c>
      <c r="G7" s="105" cm="1">
        <f t="array" ref="G7">IFERROR(INDEX('Машины на заводе'!$B$1:$B$1000,LARGE(IF(IF('Машины на заводе'!$J$4:$J$1000="",1,0)+IF('Машины на заводе'!$I$4:$I$1000&lt;&gt;"",1,0)=2,ROW('Машины на заводе'!$A$4:$A$1000)),ROW(B5))),"")</f>
        <v>40</v>
      </c>
      <c r="H7" s="105" cm="1">
        <f t="array" ref="H7">IFERROR(INDEX('Машины на заводе'!$B$1:$B$1000,LARGE(IF(IF('Машины на заводе'!$M$4:$M$1000="",1,0)+IF('Машины на заводе'!$L$4:$L$1000&lt;&gt;"",1,0)=2,ROW('Машины на заводе'!$A$4:$A$1000)),ROW(B5))),"")</f>
        <v>14</v>
      </c>
      <c r="I7" s="105" cm="1">
        <f t="array" ref="I7">IFERROR(INDEX('Машины на заводе'!$B$1:$B$1000,LARGE(IF(IF('Машины на заводе'!$M$4:$M$1000="",1,0)+IF('Машины на заводе'!$K$4:$K$1000&lt;&gt;"",1,0)=2,ROW('Машины на заводе'!$A$4:$A$1000)),ROW(B5))),"")</f>
        <v>22</v>
      </c>
      <c r="J7" s="105" cm="1">
        <f t="array" ref="J7">IFERROR(INDEX('Машины на заводе'!$B$1:$B$1000,LARGE(IF(IF('Машины на заводе'!$N$4:$N$1000="",1,0)+IF('Машины на заводе'!$M$4:$M$1000&lt;&gt;"",1,0)=2,ROW('Машины на заводе'!$A$4:$A$1000)),ROW(B5))),"")</f>
        <v>3</v>
      </c>
      <c r="P7" s="28"/>
      <c r="Q7" s="188">
        <f>IF(C103="","",C103)</f>
        <v>1</v>
      </c>
      <c r="R7" s="189"/>
      <c r="S7" s="28"/>
      <c r="T7" s="188">
        <f>IF(C104="","",C104)</f>
        <v>1</v>
      </c>
      <c r="U7" s="189"/>
      <c r="V7" s="28"/>
      <c r="W7" s="188">
        <f>IF(C105="","",C105)</f>
        <v>1</v>
      </c>
      <c r="X7" s="189"/>
      <c r="Y7" s="28"/>
      <c r="Z7" s="60">
        <f>IF(C106="","",C106)</f>
        <v>1</v>
      </c>
      <c r="AA7" s="28"/>
      <c r="AB7" s="60">
        <f>IF(C107="","",C107)</f>
        <v>1</v>
      </c>
      <c r="AC7" s="28"/>
      <c r="AD7" s="60">
        <f>IF(C108="","",C108)</f>
        <v>1</v>
      </c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5"/>
      <c r="BJ7" s="25"/>
      <c r="BK7" s="28"/>
      <c r="BL7" s="25"/>
      <c r="BM7" s="25"/>
      <c r="BN7" s="28"/>
      <c r="BO7" s="25"/>
      <c r="BP7" s="25"/>
      <c r="BQ7" s="25"/>
      <c r="BR7" s="25"/>
      <c r="BS7" s="25"/>
      <c r="BT7" s="28"/>
      <c r="BU7" s="25"/>
      <c r="BV7" s="25"/>
      <c r="BW7" s="25"/>
      <c r="BX7" s="25"/>
      <c r="BY7" s="25"/>
      <c r="BZ7" s="25"/>
    </row>
    <row r="8" spans="1:82" ht="24.95" customHeight="1" x14ac:dyDescent="0.2">
      <c r="A8" s="162" t="s">
        <v>289</v>
      </c>
      <c r="B8" s="107" t="s">
        <v>213</v>
      </c>
      <c r="C8" s="51">
        <v>1</v>
      </c>
      <c r="D8" s="139" t="str">
        <f>_xlfn.IFNA(VLOOKUP(MID(_xlfn.XLOOKUP(C8,'Машины на заводе'!$B$3:$B$1000,'Машины на заводе'!$F$3:$F$1000,"",,-1),3,1),$CC$1:$CD$5,2,0),"")</f>
        <v>ККС</v>
      </c>
      <c r="F8" s="105" cm="1">
        <f t="array" ref="F8">IFERROR(INDEX('Машины на заводе'!$B$1:$B$1000,LARGE(IF(IF('Машины на заводе'!$H$4:$H$1000="",1,0)+IF('Машины на заводе'!$G$4:$G$1000&lt;&gt;"",1,0)=2,ROW('Машины на заводе'!$A$4:$A$1000)),ROW(B6))),"")</f>
        <v>45</v>
      </c>
      <c r="G8" s="105" cm="1">
        <f t="array" ref="G8">IFERROR(INDEX('Машины на заводе'!$B$1:$B$1000,LARGE(IF(IF('Машины на заводе'!$J$4:$J$1000="",1,0)+IF('Машины на заводе'!$I$4:$I$1000&lt;&gt;"",1,0)=2,ROW('Машины на заводе'!$A$4:$A$1000)),ROW(B6))),"")</f>
        <v>39</v>
      </c>
      <c r="H8" s="105" cm="1">
        <f t="array" ref="H8">IFERROR(INDEX('Машины на заводе'!$B$1:$B$1000,LARGE(IF(IF('Машины на заводе'!$M$4:$M$1000="",1,0)+IF('Машины на заводе'!$L$4:$L$1000&lt;&gt;"",1,0)=2,ROW('Машины на заводе'!$A$4:$A$1000)),ROW(B6))),"")</f>
        <v>13</v>
      </c>
      <c r="I8" s="105" cm="1">
        <f t="array" ref="I8">IFERROR(INDEX('Машины на заводе'!$B$1:$B$1000,LARGE(IF(IF('Машины на заводе'!$M$4:$M$1000="",1,0)+IF('Машины на заводе'!$K$4:$K$1000&lt;&gt;"",1,0)=2,ROW('Машины на заводе'!$A$4:$A$1000)),ROW(B6))),"")</f>
        <v>21</v>
      </c>
      <c r="J8" s="105" cm="1">
        <f t="array" ref="J8">IFERROR(INDEX('Машины на заводе'!$B$1:$B$1000,LARGE(IF(IF('Машины на заводе'!$N$4:$N$1000="",1,0)+IF('Машины на заводе'!$M$4:$M$1000&lt;&gt;"",1,0)=2,ROW('Машины на заводе'!$A$4:$A$1000)),ROW(B6))),"")</f>
        <v>2</v>
      </c>
      <c r="L8" s="176" t="s">
        <v>242</v>
      </c>
      <c r="M8" s="176"/>
      <c r="N8" s="17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5"/>
      <c r="BV8" s="25"/>
      <c r="BW8" s="25"/>
      <c r="BX8" s="25"/>
      <c r="BY8" s="25"/>
      <c r="BZ8" s="25"/>
      <c r="CC8" s="112" t="s">
        <v>360</v>
      </c>
      <c r="CD8" s="109" t="s">
        <v>290</v>
      </c>
    </row>
    <row r="9" spans="1:82" ht="24.95" customHeight="1" x14ac:dyDescent="0.25">
      <c r="A9" s="163"/>
      <c r="B9" s="127" t="s">
        <v>227</v>
      </c>
      <c r="C9" s="51">
        <v>1</v>
      </c>
      <c r="D9" s="139" t="str">
        <f>_xlfn.IFNA(VLOOKUP(MID(_xlfn.XLOOKUP(C9,'Машины на заводе'!$B$3:$B$1000,'Машины на заводе'!$F$3:$F$1000,"",,-1),3,1),$CC$1:$CD$5,2,0),"")</f>
        <v>ККС</v>
      </c>
      <c r="F9" s="105" t="str" cm="1">
        <f t="array" ref="F9">IFERROR(INDEX('Машины на заводе'!$B$1:$B$1000,LARGE(IF(IF('Машины на заводе'!$H$4:$H$1000="",1,0)+IF('Машины на заводе'!$G$4:$G$1000&lt;&gt;"",1,0)=2,ROW('Машины на заводе'!$A$4:$A$1000)),ROW(B7))),"")</f>
        <v/>
      </c>
      <c r="G9" s="105" cm="1">
        <f t="array" ref="G9">IFERROR(INDEX('Машины на заводе'!$B$1:$B$1000,LARGE(IF(IF('Машины на заводе'!$J$4:$J$1000="",1,0)+IF('Машины на заводе'!$I$4:$I$1000&lt;&gt;"",1,0)=2,ROW('Машины на заводе'!$A$4:$A$1000)),ROW(B7))),"")</f>
        <v>38</v>
      </c>
      <c r="H9" s="105" cm="1">
        <f t="array" ref="H9">IFERROR(INDEX('Машины на заводе'!$B$1:$B$1000,LARGE(IF(IF('Машины на заводе'!$M$4:$M$1000="",1,0)+IF('Машины на заводе'!$L$4:$L$1000&lt;&gt;"",1,0)=2,ROW('Машины на заводе'!$A$4:$A$1000)),ROW(B7))),"")</f>
        <v>12</v>
      </c>
      <c r="I9" s="105" cm="1">
        <f t="array" ref="I9">IFERROR(INDEX('Машины на заводе'!$B$1:$B$1000,LARGE(IF(IF('Машины на заводе'!$M$4:$M$1000="",1,0)+IF('Машины на заводе'!$K$4:$K$1000&lt;&gt;"",1,0)=2,ROW('Машины на заводе'!$A$4:$A$1000)),ROW(B7))),"")</f>
        <v>20</v>
      </c>
      <c r="J9" s="105" t="str" cm="1">
        <f t="array" ref="J9">IFERROR(INDEX('Машины на заводе'!$B$1:$B$1000,LARGE(IF(IF('Машины на заводе'!$N$4:$N$1000="",1,0)+IF('Машины на заводе'!$M$4:$M$1000&lt;&gt;"",1,0)=2,ROW('Машины на заводе'!$A$4:$A$1000)),ROW(B7))),"")</f>
        <v/>
      </c>
      <c r="L9" s="176"/>
      <c r="M9" s="176"/>
      <c r="N9" s="176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31"/>
      <c r="AO9" s="31"/>
      <c r="AP9" s="31"/>
      <c r="AQ9" s="31"/>
      <c r="AR9" s="31"/>
      <c r="AS9" s="31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5"/>
      <c r="BV9" s="25"/>
      <c r="BW9" s="25"/>
      <c r="BX9" s="25"/>
      <c r="BY9" s="25"/>
      <c r="BZ9" s="25"/>
      <c r="CC9" s="113" t="s">
        <v>355</v>
      </c>
      <c r="CD9" s="110" t="s">
        <v>352</v>
      </c>
    </row>
    <row r="10" spans="1:82" ht="24.95" customHeight="1" x14ac:dyDescent="0.2">
      <c r="A10" s="163"/>
      <c r="B10" s="107" t="s">
        <v>211</v>
      </c>
      <c r="C10" s="51">
        <v>1</v>
      </c>
      <c r="D10" s="139" t="str">
        <f>_xlfn.IFNA(VLOOKUP(MID(_xlfn.XLOOKUP(C10,'Машины на заводе'!$B$3:$B$1000,'Машины на заводе'!$F$3:$F$1000,"",,-1),3,1),$CC$1:$CD$5,2,0),"")</f>
        <v>ККС</v>
      </c>
      <c r="F10" s="105" t="str" cm="1">
        <f t="array" ref="F10">IFERROR(INDEX('Машины на заводе'!$B$1:$B$1000,LARGE(IF(IF('Машины на заводе'!$H$4:$H$1000="",1,0)+IF('Машины на заводе'!$G$4:$G$1000&lt;&gt;"",1,0)=2,ROW('Машины на заводе'!$A$4:$A$1000)),ROW(B8))),"")</f>
        <v/>
      </c>
      <c r="G10" s="105" cm="1">
        <f t="array" ref="G10">IFERROR(INDEX('Машины на заводе'!$B$1:$B$1000,LARGE(IF(IF('Машины на заводе'!$J$4:$J$1000="",1,0)+IF('Машины на заводе'!$I$4:$I$1000&lt;&gt;"",1,0)=2,ROW('Машины на заводе'!$A$4:$A$1000)),ROW(B8))),"")</f>
        <v>37</v>
      </c>
      <c r="H10" s="105" cm="1">
        <f t="array" ref="H10">IFERROR(INDEX('Машины на заводе'!$B$1:$B$1000,LARGE(IF(IF('Машины на заводе'!$M$4:$M$1000="",1,0)+IF('Машины на заводе'!$L$4:$L$1000&lt;&gt;"",1,0)=2,ROW('Машины на заводе'!$A$4:$A$1000)),ROW(B8))),"")</f>
        <v>11</v>
      </c>
      <c r="I10" s="105" cm="1">
        <f t="array" ref="I10">IFERROR(INDEX('Машины на заводе'!$B$1:$B$1000,LARGE(IF(IF('Машины на заводе'!$M$4:$M$1000="",1,0)+IF('Машины на заводе'!$K$4:$K$1000&lt;&gt;"",1,0)=2,ROW('Машины на заводе'!$A$4:$A$1000)),ROW(B8))),"")</f>
        <v>19</v>
      </c>
      <c r="J10" s="105" t="str" cm="1">
        <f t="array" ref="J10">IFERROR(INDEX('Машины на заводе'!$B$1:$B$1000,LARGE(IF(IF('Машины на заводе'!$N$4:$N$1000="",1,0)+IF('Машины на заводе'!$M$4:$M$1000&lt;&gt;"",1,0)=2,ROW('Машины на заводе'!$A$4:$A$1000)),ROW(B8))),"")</f>
        <v/>
      </c>
      <c r="L10" s="175" t="s">
        <v>238</v>
      </c>
      <c r="M10" s="175"/>
      <c r="N10" s="175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187" t="s">
        <v>152</v>
      </c>
      <c r="AM10" s="187"/>
      <c r="AN10" s="187"/>
      <c r="AO10" s="187"/>
      <c r="AP10" s="187"/>
      <c r="AQ10" s="187"/>
      <c r="AR10" s="187"/>
      <c r="AS10" s="187"/>
      <c r="AT10" s="187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5"/>
      <c r="BV10" s="25"/>
      <c r="BW10" s="25"/>
      <c r="BX10" s="25"/>
      <c r="BY10" s="25"/>
      <c r="BZ10" s="25"/>
      <c r="CC10" s="113" t="s">
        <v>357</v>
      </c>
      <c r="CD10" s="110" t="s">
        <v>353</v>
      </c>
    </row>
    <row r="11" spans="1:82" ht="24.95" customHeight="1" thickBot="1" x14ac:dyDescent="0.25">
      <c r="A11" s="163"/>
      <c r="B11" s="107" t="s">
        <v>212</v>
      </c>
      <c r="C11" s="51">
        <v>1</v>
      </c>
      <c r="D11" s="139" t="str">
        <f>_xlfn.IFNA(VLOOKUP(MID(_xlfn.XLOOKUP(C11,'Машины на заводе'!$B$3:$B$1000,'Машины на заводе'!$F$3:$F$1000,"",,-1),3,1),$CC$1:$CD$5,2,0),"")</f>
        <v>ККС</v>
      </c>
      <c r="F11" s="105" t="str" cm="1">
        <f t="array" ref="F11">IFERROR(INDEX('Машины на заводе'!$B$1:$B$1000,LARGE(IF(IF('Машины на заводе'!$H$4:$H$1000="",1,0)+IF('Машины на заводе'!$G$4:$G$1000&lt;&gt;"",1,0)=2,ROW('Машины на заводе'!$A$4:$A$1000)),ROW(B9))),"")</f>
        <v/>
      </c>
      <c r="G11" s="105" cm="1">
        <f t="array" ref="G11">IFERROR(INDEX('Машины на заводе'!$B$1:$B$1000,LARGE(IF(IF('Машины на заводе'!$J$4:$J$1000="",1,0)+IF('Машины на заводе'!$I$4:$I$1000&lt;&gt;"",1,0)=2,ROW('Машины на заводе'!$A$4:$A$1000)),ROW(B9))),"")</f>
        <v>36</v>
      </c>
      <c r="H11" s="105" cm="1">
        <f t="array" ref="H11">IFERROR(INDEX('Машины на заводе'!$B$1:$B$1000,LARGE(IF(IF('Машины на заводе'!$M$4:$M$1000="",1,0)+IF('Машины на заводе'!$L$4:$L$1000&lt;&gt;"",1,0)=2,ROW('Машины на заводе'!$A$4:$A$1000)),ROW(B9))),"")</f>
        <v>10</v>
      </c>
      <c r="I11" s="105" cm="1">
        <f t="array" ref="I11">IFERROR(INDEX('Машины на заводе'!$B$1:$B$1000,LARGE(IF(IF('Машины на заводе'!$M$4:$M$1000="",1,0)+IF('Машины на заводе'!$K$4:$K$1000&lt;&gt;"",1,0)=2,ROW('Машины на заводе'!$A$4:$A$1000)),ROW(B9))),"")</f>
        <v>18</v>
      </c>
      <c r="J11" s="105" t="str" cm="1">
        <f t="array" ref="J11">IFERROR(INDEX('Машины на заводе'!$B$1:$B$1000,LARGE(IF(IF('Машины на заводе'!$N$4:$N$1000="",1,0)+IF('Машины на заводе'!$M$4:$M$1000&lt;&gt;"",1,0)=2,ROW('Машины на заводе'!$A$4:$A$1000)),ROW(B9))),"")</f>
        <v/>
      </c>
      <c r="K11" s="27">
        <v>2</v>
      </c>
      <c r="L11" s="175"/>
      <c r="M11" s="175"/>
      <c r="N11" s="175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28"/>
      <c r="AA11" s="28"/>
      <c r="AB11" s="165">
        <f>IF(C59="","",C59)</f>
        <v>1</v>
      </c>
      <c r="AC11" s="166"/>
      <c r="AD11" s="167"/>
      <c r="AE11" s="40"/>
      <c r="AF11" s="165">
        <f>IF(C60="","",C60)</f>
        <v>1</v>
      </c>
      <c r="AG11" s="166"/>
      <c r="AH11" s="167"/>
      <c r="AI11" s="40"/>
      <c r="AJ11" s="165">
        <f>IF(C61="","",C61)</f>
        <v>1</v>
      </c>
      <c r="AK11" s="166"/>
      <c r="AL11" s="167"/>
      <c r="AM11" s="40"/>
      <c r="AN11" s="165">
        <f>IF(C62="","",C62)</f>
        <v>1</v>
      </c>
      <c r="AO11" s="166"/>
      <c r="AP11" s="167"/>
      <c r="AQ11" s="40"/>
      <c r="AR11" s="165">
        <f>IF(C63="","",C63)</f>
        <v>1</v>
      </c>
      <c r="AS11" s="166"/>
      <c r="AT11" s="167"/>
      <c r="AU11" s="40"/>
      <c r="AV11" s="165">
        <f>IF(C64="","",C64)</f>
        <v>1</v>
      </c>
      <c r="AW11" s="166"/>
      <c r="AX11" s="167"/>
      <c r="AY11" s="40"/>
      <c r="AZ11" s="165">
        <f>IF(C65="","",C65)</f>
        <v>1</v>
      </c>
      <c r="BA11" s="166"/>
      <c r="BB11" s="167"/>
      <c r="BC11" s="40"/>
      <c r="BD11" s="165">
        <f>IF(C66="","",C66)</f>
        <v>1</v>
      </c>
      <c r="BE11" s="166"/>
      <c r="BF11" s="167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03">
        <f>IF(C71="","",C71)</f>
        <v>1</v>
      </c>
      <c r="BV11" s="194" t="str">
        <f>D71</f>
        <v>Самосвал</v>
      </c>
      <c r="BW11" s="28"/>
      <c r="BX11" s="28"/>
      <c r="BY11" s="28"/>
      <c r="BZ11" s="28"/>
      <c r="CC11" s="114" t="s">
        <v>359</v>
      </c>
      <c r="CD11" s="111" t="s">
        <v>354</v>
      </c>
    </row>
    <row r="12" spans="1:82" ht="24.95" customHeight="1" x14ac:dyDescent="0.2">
      <c r="A12" s="163"/>
      <c r="B12" s="127" t="s">
        <v>209</v>
      </c>
      <c r="C12" s="51">
        <v>1</v>
      </c>
      <c r="D12" s="139" t="str">
        <f>_xlfn.IFNA(VLOOKUP(MID(_xlfn.XLOOKUP(C12,'Машины на заводе'!$B$3:$B$1000,'Машины на заводе'!$F$3:$F$1000,"",,-1),3,1),$CC$1:$CD$5,2,0),"")</f>
        <v>ККС</v>
      </c>
      <c r="F12" s="105" t="str" cm="1">
        <f t="array" ref="F12">IFERROR(INDEX('Машины на заводе'!$B$1:$B$1000,LARGE(IF(IF('Машины на заводе'!$H$4:$H$1000="",1,0)+IF('Машины на заводе'!$G$4:$G$1000&lt;&gt;"",1,0)=2,ROW('Машины на заводе'!$A$4:$A$1000)),ROW(B10))),"")</f>
        <v/>
      </c>
      <c r="G12" s="105" cm="1">
        <f t="array" ref="G12">IFERROR(INDEX('Машины на заводе'!$B$1:$B$1000,LARGE(IF(IF('Машины на заводе'!$J$4:$J$1000="",1,0)+IF('Машины на заводе'!$I$4:$I$1000&lt;&gt;"",1,0)=2,ROW('Машины на заводе'!$A$4:$A$1000)),ROW(B10))),"")</f>
        <v>35</v>
      </c>
      <c r="H12" s="105" cm="1">
        <f t="array" ref="H12">IFERROR(INDEX('Машины на заводе'!$B$1:$B$1000,LARGE(IF(IF('Машины на заводе'!$M$4:$M$1000="",1,0)+IF('Машины на заводе'!$L$4:$L$1000&lt;&gt;"",1,0)=2,ROW('Машины на заводе'!$A$4:$A$1000)),ROW(B10))),"")</f>
        <v>9</v>
      </c>
      <c r="I12" s="105" cm="1">
        <f t="array" ref="I12">IFERROR(INDEX('Машины на заводе'!$B$1:$B$1000,LARGE(IF(IF('Машины на заводе'!$M$4:$M$1000="",1,0)+IF('Машины на заводе'!$K$4:$K$1000&lt;&gt;"",1,0)=2,ROW('Машины на заводе'!$A$4:$A$1000)),ROW(B10))),"")</f>
        <v>17</v>
      </c>
      <c r="J12" s="105" t="str" cm="1">
        <f t="array" ref="J12">IFERROR(INDEX('Машины на заводе'!$B$1:$B$1000,LARGE(IF(IF('Машины на заводе'!$N$4:$N$1000="",1,0)+IF('Машины на заводе'!$M$4:$M$1000&lt;&gt;"",1,0)=2,ROW('Машины на заводе'!$A$4:$A$1000)),ROW(B10))),"")</f>
        <v/>
      </c>
      <c r="P12" s="28"/>
      <c r="Q12" s="28"/>
      <c r="R12" s="28"/>
      <c r="S12" s="28"/>
      <c r="T12" s="30"/>
      <c r="U12" s="30"/>
      <c r="V12" s="30"/>
      <c r="W12" s="28"/>
      <c r="X12" s="28"/>
      <c r="Y12" s="28"/>
      <c r="Z12" s="28"/>
      <c r="AA12" s="28"/>
      <c r="AB12" s="168" t="str">
        <f>D59</f>
        <v>Самосвал</v>
      </c>
      <c r="AC12" s="169"/>
      <c r="AD12" s="170"/>
      <c r="AE12" s="40"/>
      <c r="AF12" s="168" t="str">
        <f>D60</f>
        <v>Самосвал</v>
      </c>
      <c r="AG12" s="169"/>
      <c r="AH12" s="170"/>
      <c r="AI12" s="40"/>
      <c r="AJ12" s="168" t="str">
        <f>D61</f>
        <v>Самосвал</v>
      </c>
      <c r="AK12" s="169"/>
      <c r="AL12" s="170"/>
      <c r="AM12" s="40"/>
      <c r="AN12" s="168" t="str">
        <f>D62</f>
        <v>Самосвал</v>
      </c>
      <c r="AO12" s="169"/>
      <c r="AP12" s="170"/>
      <c r="AQ12" s="40"/>
      <c r="AR12" s="168" t="str">
        <f>D63</f>
        <v>Самосвал</v>
      </c>
      <c r="AS12" s="169"/>
      <c r="AT12" s="170"/>
      <c r="AU12" s="40"/>
      <c r="AV12" s="168" t="str">
        <f>D64</f>
        <v>Самосвал</v>
      </c>
      <c r="AW12" s="169"/>
      <c r="AX12" s="170"/>
      <c r="AY12" s="40"/>
      <c r="AZ12" s="168" t="str">
        <f>D65</f>
        <v>Самосвал</v>
      </c>
      <c r="BA12" s="169"/>
      <c r="BB12" s="170"/>
      <c r="BC12" s="40"/>
      <c r="BD12" s="168" t="str">
        <f>D66</f>
        <v>Самосвал</v>
      </c>
      <c r="BE12" s="169"/>
      <c r="BF12" s="170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04"/>
      <c r="BV12" s="195"/>
      <c r="BW12" s="28"/>
      <c r="BX12" s="28"/>
      <c r="BY12" s="28"/>
      <c r="BZ12" s="28"/>
    </row>
    <row r="13" spans="1:82" ht="24.95" customHeight="1" x14ac:dyDescent="0.2">
      <c r="A13" s="163"/>
      <c r="B13" s="127" t="s">
        <v>210</v>
      </c>
      <c r="C13" s="51">
        <v>1</v>
      </c>
      <c r="D13" s="139" t="str">
        <f>_xlfn.IFNA(VLOOKUP(MID(_xlfn.XLOOKUP(C13,'Машины на заводе'!$B$3:$B$1000,'Машины на заводе'!$F$3:$F$1000,"",,-1),3,1),$CC$1:$CD$5,2,0),"")</f>
        <v>ККС</v>
      </c>
      <c r="F13" s="105" t="str" cm="1">
        <f t="array" ref="F13">IFERROR(INDEX('Машины на заводе'!$B$1:$B$1000,LARGE(IF(IF('Машины на заводе'!$H$4:$H$1000="",1,0)+IF('Машины на заводе'!$G$4:$G$1000&lt;&gt;"",1,0)=2,ROW('Машины на заводе'!$A$4:$A$1000)),ROW(B11))),"")</f>
        <v/>
      </c>
      <c r="G13" s="105" cm="1">
        <f t="array" ref="G13">IFERROR(INDEX('Машины на заводе'!$B$1:$B$1000,LARGE(IF(IF('Машины на заводе'!$J$4:$J$1000="",1,0)+IF('Машины на заводе'!$I$4:$I$1000&lt;&gt;"",1,0)=2,ROW('Машины на заводе'!$A$4:$A$1000)),ROW(B11))),"")</f>
        <v>34</v>
      </c>
      <c r="H13" s="105" cm="1">
        <f t="array" ref="H13">IFERROR(INDEX('Машины на заводе'!$B$1:$B$1000,LARGE(IF(IF('Машины на заводе'!$M$4:$M$1000="",1,0)+IF('Машины на заводе'!$L$4:$L$1000&lt;&gt;"",1,0)=2,ROW('Машины на заводе'!$A$4:$A$1000)),ROW(B11))),"")</f>
        <v>8</v>
      </c>
      <c r="I13" s="105" cm="1">
        <f t="array" ref="I13">IFERROR(INDEX('Машины на заводе'!$B$1:$B$1000,LARGE(IF(IF('Машины на заводе'!$M$4:$M$1000="",1,0)+IF('Машины на заводе'!$K$4:$K$1000&lt;&gt;"",1,0)=2,ROW('Машины на заводе'!$A$4:$A$1000)),ROW(B11))),"")</f>
        <v>16</v>
      </c>
      <c r="J13" s="105" t="str" cm="1">
        <f t="array" ref="J13">IFERROR(INDEX('Машины на заводе'!$B$1:$B$1000,LARGE(IF(IF('Машины на заводе'!$N$4:$N$1000="",1,0)+IF('Машины на заводе'!$M$4:$M$1000&lt;&gt;"",1,0)=2,ROW('Машины на заводе'!$A$4:$A$1000)),ROW(B11))),"")</f>
        <v/>
      </c>
      <c r="L13" s="176" t="s">
        <v>239</v>
      </c>
      <c r="M13" s="176"/>
      <c r="N13" s="176"/>
      <c r="P13" s="28"/>
      <c r="Q13" s="28"/>
      <c r="R13" s="28"/>
      <c r="S13" s="28"/>
      <c r="T13" s="30"/>
      <c r="U13" s="30"/>
      <c r="V13" s="30"/>
      <c r="W13" s="200">
        <f>IF(C58="","",C58)</f>
        <v>1</v>
      </c>
      <c r="X13" s="197" t="str">
        <f>D58</f>
        <v>Самосвал</v>
      </c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35"/>
      <c r="AV13" s="79" t="s">
        <v>270</v>
      </c>
      <c r="AW13" s="35"/>
      <c r="AX13" s="35"/>
      <c r="AY13" s="28"/>
      <c r="AZ13" s="80" t="s">
        <v>145</v>
      </c>
      <c r="BA13" s="140"/>
      <c r="BB13" s="140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06">
        <f>IF(C72="","",C72)</f>
        <v>1</v>
      </c>
      <c r="BP13" s="215" t="str">
        <f>D72</f>
        <v>Самосвал</v>
      </c>
      <c r="BQ13" s="28"/>
      <c r="BR13" s="28"/>
      <c r="BS13" s="28"/>
      <c r="BT13" s="28"/>
      <c r="BU13" s="204"/>
      <c r="BV13" s="195"/>
      <c r="BW13" s="28"/>
      <c r="BX13" s="28"/>
      <c r="BY13" s="28"/>
      <c r="BZ13" s="28"/>
    </row>
    <row r="14" spans="1:82" ht="24.95" customHeight="1" x14ac:dyDescent="0.2">
      <c r="A14" s="163"/>
      <c r="B14" s="107" t="s">
        <v>207</v>
      </c>
      <c r="C14" s="51">
        <v>1</v>
      </c>
      <c r="D14" s="139" t="str">
        <f>_xlfn.IFNA(VLOOKUP(MID(_xlfn.XLOOKUP(C14,'Машины на заводе'!$B$3:$B$1000,'Машины на заводе'!$F$3:$F$1000,"",,-1),3,1),$CC$1:$CD$5,2,0),"")</f>
        <v>ККС</v>
      </c>
      <c r="F14" s="105" t="str" cm="1">
        <f t="array" ref="F14">IFERROR(INDEX('Машины на заводе'!$B$1:$B$1000,LARGE(IF(IF('Машины на заводе'!$H$4:$H$1000="",1,0)+IF('Машины на заводе'!$G$4:$G$1000&lt;&gt;"",1,0)=2,ROW('Машины на заводе'!$A$4:$A$1000)),ROW(B12))),"")</f>
        <v/>
      </c>
      <c r="G14" s="105" cm="1">
        <f t="array" ref="G14">IFERROR(INDEX('Машины на заводе'!$B$1:$B$1000,LARGE(IF(IF('Машины на заводе'!$J$4:$J$1000="",1,0)+IF('Машины на заводе'!$I$4:$I$1000&lt;&gt;"",1,0)=2,ROW('Машины на заводе'!$A$4:$A$1000)),ROW(B12))),"")</f>
        <v>33</v>
      </c>
      <c r="H14" s="105" t="str" cm="1">
        <f t="array" ref="H14">IFERROR(INDEX('Машины на заводе'!$B$1:$B$1000,LARGE(IF(IF('Машины на заводе'!$M$4:$M$1000="",1,0)+IF('Машины на заводе'!$L$4:$L$1000&lt;&gt;"",1,0)=2,ROW('Машины на заводе'!$A$4:$A$1000)),ROW(B12))),"")</f>
        <v/>
      </c>
      <c r="I14" s="105" cm="1">
        <f t="array" ref="I14">IFERROR(INDEX('Машины на заводе'!$B$1:$B$1000,LARGE(IF(IF('Машины на заводе'!$M$4:$M$1000="",1,0)+IF('Машины на заводе'!$K$4:$K$1000&lt;&gt;"",1,0)=2,ROW('Машины на заводе'!$A$4:$A$1000)),ROW(B12))),"")</f>
        <v>15</v>
      </c>
      <c r="J14" s="105" t="str" cm="1">
        <f t="array" ref="J14">IFERROR(INDEX('Машины на заводе'!$B$1:$B$1000,LARGE(IF(IF('Машины на заводе'!$N$4:$N$1000="",1,0)+IF('Машины на заводе'!$M$4:$M$1000&lt;&gt;"",1,0)=2,ROW('Машины на заводе'!$A$4:$A$1000)),ROW(B12))),"")</f>
        <v/>
      </c>
      <c r="L14" s="176"/>
      <c r="M14" s="176"/>
      <c r="N14" s="176"/>
      <c r="P14" s="28"/>
      <c r="Q14" s="28"/>
      <c r="R14" s="28"/>
      <c r="S14" s="28"/>
      <c r="T14" s="30"/>
      <c r="U14" s="30"/>
      <c r="V14" s="30"/>
      <c r="W14" s="201"/>
      <c r="X14" s="198"/>
      <c r="Y14" s="28"/>
      <c r="Z14" s="28"/>
      <c r="AA14" s="28"/>
      <c r="AB14" s="102" t="s">
        <v>149</v>
      </c>
      <c r="AC14" s="28"/>
      <c r="AD14" s="28"/>
      <c r="AE14" s="28"/>
      <c r="AF14" s="102" t="s">
        <v>150</v>
      </c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134">
        <f>IF(C46="","",C46)</f>
        <v>1</v>
      </c>
      <c r="AW14" s="41"/>
      <c r="AX14" s="28"/>
      <c r="AY14" s="28"/>
      <c r="AZ14" s="118">
        <f>IF(C45="","",C45)</f>
        <v>1</v>
      </c>
      <c r="BA14" s="28"/>
      <c r="BB14" s="118">
        <f>IF(C44="","",C44)</f>
        <v>1</v>
      </c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07"/>
      <c r="BP14" s="216"/>
      <c r="BQ14" s="28"/>
      <c r="BR14" s="28"/>
      <c r="BS14" s="28"/>
      <c r="BT14" s="28"/>
      <c r="BU14" s="205"/>
      <c r="BV14" s="196"/>
      <c r="BW14" s="28"/>
      <c r="BX14" s="28"/>
      <c r="BY14" s="28"/>
      <c r="BZ14" s="28"/>
    </row>
    <row r="15" spans="1:82" ht="24.95" customHeight="1" x14ac:dyDescent="0.2">
      <c r="A15" s="163"/>
      <c r="B15" s="107" t="s">
        <v>208</v>
      </c>
      <c r="C15" s="51">
        <v>1</v>
      </c>
      <c r="D15" s="139" t="str">
        <f>_xlfn.IFNA(VLOOKUP(MID(_xlfn.XLOOKUP(C15,'Машины на заводе'!$B$3:$B$1000,'Машины на заводе'!$F$3:$F$1000,"",,-1),3,1),$CC$1:$CD$5,2,0),"")</f>
        <v>ККС</v>
      </c>
      <c r="F15" s="105" t="str" cm="1">
        <f t="array" ref="F15">IFERROR(INDEX('Машины на заводе'!$B$1:$B$1000,LARGE(IF(IF('Машины на заводе'!$H$4:$H$1000="",1,0)+IF('Машины на заводе'!$G$4:$G$1000&lt;&gt;"",1,0)=2,ROW('Машины на заводе'!$A$4:$A$1000)),ROW(B13))),"")</f>
        <v/>
      </c>
      <c r="G15" s="105" cm="1">
        <f t="array" ref="G15">IFERROR(INDEX('Машины на заводе'!$B$1:$B$1000,LARGE(IF(IF('Машины на заводе'!$J$4:$J$1000="",1,0)+IF('Машины на заводе'!$I$4:$I$1000&lt;&gt;"",1,0)=2,ROW('Машины на заводе'!$A$4:$A$1000)),ROW(B13))),"")</f>
        <v>32</v>
      </c>
      <c r="H15" s="105" t="str" cm="1">
        <f t="array" ref="H15">IFERROR(INDEX('Машины на заводе'!$B$1:$B$1000,LARGE(IF(IF('Машины на заводе'!$M$4:$M$1000="",1,0)+IF('Машины на заводе'!$L$4:$L$1000&lt;&gt;"",1,0)=2,ROW('Машины на заводе'!$A$4:$A$1000)),ROW(B13))),"")</f>
        <v/>
      </c>
      <c r="I15" s="105" cm="1">
        <f t="array" ref="I15">IFERROR(INDEX('Машины на заводе'!$B$1:$B$1000,LARGE(IF(IF('Машины на заводе'!$M$4:$M$1000="",1,0)+IF('Машины на заводе'!$K$4:$K$1000&lt;&gt;"",1,0)=2,ROW('Машины на заводе'!$A$4:$A$1000)),ROW(B13))),"")</f>
        <v>14</v>
      </c>
      <c r="J15" s="105" t="str" cm="1">
        <f t="array" ref="J15">IFERROR(INDEX('Машины на заводе'!$B$1:$B$1000,LARGE(IF(IF('Машины на заводе'!$N$4:$N$1000="",1,0)+IF('Машины на заводе'!$M$4:$M$1000&lt;&gt;"",1,0)=2,ROW('Машины на заводе'!$A$4:$A$1000)),ROW(B13))),"")</f>
        <v/>
      </c>
      <c r="L15" s="175" t="s">
        <v>238</v>
      </c>
      <c r="M15" s="175"/>
      <c r="N15" s="175"/>
      <c r="P15" s="28"/>
      <c r="Q15" s="28"/>
      <c r="R15" s="28"/>
      <c r="S15" s="28"/>
      <c r="T15" s="30"/>
      <c r="U15" s="30"/>
      <c r="V15" s="30"/>
      <c r="W15" s="201"/>
      <c r="X15" s="198"/>
      <c r="Y15" s="28"/>
      <c r="Z15" s="28"/>
      <c r="AA15" s="28"/>
      <c r="AB15" s="43">
        <f>IF(C68="","",C68)</f>
        <v>1</v>
      </c>
      <c r="AC15" s="28"/>
      <c r="AD15" s="28"/>
      <c r="AE15" s="28"/>
      <c r="AF15" s="119">
        <f>IF(C67="","",C67)</f>
        <v>1</v>
      </c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135" t="str">
        <f>D46</f>
        <v>ККС</v>
      </c>
      <c r="AW15" s="124"/>
      <c r="AX15" s="33"/>
      <c r="AY15" s="33"/>
      <c r="AZ15" s="123" t="str">
        <f>D45</f>
        <v>ККС</v>
      </c>
      <c r="BA15" s="33"/>
      <c r="BB15" s="123" t="str">
        <f>D44</f>
        <v>ККС</v>
      </c>
      <c r="BC15" s="28"/>
      <c r="BD15" s="28"/>
      <c r="BE15" s="28"/>
      <c r="BF15" s="28"/>
      <c r="BG15" s="28"/>
      <c r="BH15" s="28"/>
      <c r="BI15" s="203">
        <f>IF(C69="","",C69)</f>
        <v>1</v>
      </c>
      <c r="BJ15" s="194" t="str">
        <f>D69</f>
        <v>Самосвал</v>
      </c>
      <c r="BK15" s="28"/>
      <c r="BL15" s="28"/>
      <c r="BM15" s="28"/>
      <c r="BN15" s="28"/>
      <c r="BO15" s="207"/>
      <c r="BP15" s="216"/>
      <c r="BQ15" s="28"/>
      <c r="BR15" s="28"/>
      <c r="BS15" s="28"/>
      <c r="BT15" s="28"/>
      <c r="BU15" s="203">
        <f>IF(C70="","",C70)</f>
        <v>1</v>
      </c>
      <c r="BV15" s="194" t="str">
        <f>D70</f>
        <v>Самосвал</v>
      </c>
      <c r="BW15" s="28"/>
      <c r="BX15" s="28"/>
      <c r="BY15" s="28"/>
      <c r="BZ15" s="28"/>
    </row>
    <row r="16" spans="1:82" ht="24.95" customHeight="1" x14ac:dyDescent="0.2">
      <c r="A16" s="163"/>
      <c r="B16" s="127" t="s">
        <v>228</v>
      </c>
      <c r="C16" s="51">
        <v>1</v>
      </c>
      <c r="D16" s="139" t="str">
        <f>_xlfn.IFNA(VLOOKUP(MID(_xlfn.XLOOKUP(C16,'Машины на заводе'!$B$3:$B$1000,'Машины на заводе'!$F$3:$F$1000,"",,-1),3,1),$CC$1:$CD$5,2,0),"")</f>
        <v>ККС</v>
      </c>
      <c r="F16" s="105" t="str" cm="1">
        <f t="array" ref="F16">IFERROR(INDEX('Машины на заводе'!$B$1:$B$1000,LARGE(IF(IF('Машины на заводе'!$H$4:$H$1000="",1,0)+IF('Машины на заводе'!$G$4:$G$1000&lt;&gt;"",1,0)=2,ROW('Машины на заводе'!$A$4:$A$1000)),ROW(B14))),"")</f>
        <v/>
      </c>
      <c r="G16" s="105" cm="1">
        <f t="array" ref="G16">IFERROR(INDEX('Машины на заводе'!$B$1:$B$1000,LARGE(IF(IF('Машины на заводе'!$J$4:$J$1000="",1,0)+IF('Машины на заводе'!$I$4:$I$1000&lt;&gt;"",1,0)=2,ROW('Машины на заводе'!$A$4:$A$1000)),ROW(B14))),"")</f>
        <v>31</v>
      </c>
      <c r="H16" s="105" t="str" cm="1">
        <f t="array" ref="H16">IFERROR(INDEX('Машины на заводе'!$B$1:$B$1000,LARGE(IF(IF('Машины на заводе'!$M$4:$M$1000="",1,0)+IF('Машины на заводе'!$L$4:$L$1000&lt;&gt;"",1,0)=2,ROW('Машины на заводе'!$A$4:$A$1000)),ROW(B14))),"")</f>
        <v/>
      </c>
      <c r="I16" s="105" cm="1">
        <f t="array" ref="I16">IFERROR(INDEX('Машины на заводе'!$B$1:$B$1000,LARGE(IF(IF('Машины на заводе'!$M$4:$M$1000="",1,0)+IF('Машины на заводе'!$K$4:$K$1000&lt;&gt;"",1,0)=2,ROW('Машины на заводе'!$A$4:$A$1000)),ROW(B14))),"")</f>
        <v>13</v>
      </c>
      <c r="J16" s="105" t="str" cm="1">
        <f t="array" ref="J16">IFERROR(INDEX('Машины на заводе'!$B$1:$B$1000,LARGE(IF(IF('Машины на заводе'!$N$4:$N$1000="",1,0)+IF('Машины на заводе'!$M$4:$M$1000&lt;&gt;"",1,0)=2,ROW('Машины на заводе'!$A$4:$A$1000)),ROW(B14))),"")</f>
        <v/>
      </c>
      <c r="K16" s="27">
        <v>3</v>
      </c>
      <c r="L16" s="175"/>
      <c r="M16" s="175"/>
      <c r="N16" s="175"/>
      <c r="P16" s="28"/>
      <c r="Q16" s="28"/>
      <c r="R16" s="28"/>
      <c r="S16" s="28"/>
      <c r="T16" s="30"/>
      <c r="U16" s="30"/>
      <c r="V16" s="30"/>
      <c r="W16" s="202"/>
      <c r="X16" s="199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187" t="s">
        <v>151</v>
      </c>
      <c r="AM16" s="187"/>
      <c r="AN16" s="187"/>
      <c r="AO16" s="187"/>
      <c r="AP16" s="187"/>
      <c r="AQ16" s="187"/>
      <c r="AR16" s="187"/>
      <c r="AS16" s="187"/>
      <c r="AT16" s="187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04"/>
      <c r="BJ16" s="195"/>
      <c r="BK16" s="28"/>
      <c r="BL16" s="28"/>
      <c r="BM16" s="28"/>
      <c r="BN16" s="28"/>
      <c r="BO16" s="208"/>
      <c r="BP16" s="217"/>
      <c r="BQ16" s="28"/>
      <c r="BR16" s="28"/>
      <c r="BS16" s="28"/>
      <c r="BT16" s="28"/>
      <c r="BU16" s="204"/>
      <c r="BV16" s="195"/>
      <c r="BW16" s="28"/>
      <c r="BX16" s="28"/>
      <c r="BY16" s="28"/>
      <c r="BZ16" s="28"/>
    </row>
    <row r="17" spans="1:78" ht="24.95" customHeight="1" x14ac:dyDescent="0.2">
      <c r="A17" s="163"/>
      <c r="B17" s="107" t="s">
        <v>205</v>
      </c>
      <c r="C17" s="51">
        <v>1</v>
      </c>
      <c r="D17" s="139" t="str">
        <f>_xlfn.IFNA(VLOOKUP(MID(_xlfn.XLOOKUP(C17,'Машины на заводе'!$B$3:$B$1000,'Машины на заводе'!$F$3:$F$1000,"",,-1),3,1),$CC$1:$CD$5,2,0),"")</f>
        <v>ККС</v>
      </c>
      <c r="F17" s="105" t="str" cm="1">
        <f t="array" ref="F17">IFERROR(INDEX('Машины на заводе'!$B$1:$B$1000,LARGE(IF(IF('Машины на заводе'!$H$4:$H$1000="",1,0)+IF('Машины на заводе'!$G$4:$G$1000&lt;&gt;"",1,0)=2,ROW('Машины на заводе'!$A$4:$A$1000)),ROW(B15))),"")</f>
        <v/>
      </c>
      <c r="G17" s="105" cm="1">
        <f t="array" ref="G17">IFERROR(INDEX('Машины на заводе'!$B$1:$B$1000,LARGE(IF(IF('Машины на заводе'!$J$4:$J$1000="",1,0)+IF('Машины на заводе'!$I$4:$I$1000&lt;&gt;"",1,0)=2,ROW('Машины на заводе'!$A$4:$A$1000)),ROW(B15))),"")</f>
        <v>30</v>
      </c>
      <c r="H17" s="105" t="str" cm="1">
        <f t="array" ref="H17">IFERROR(INDEX('Машины на заводе'!$B$1:$B$1000,LARGE(IF(IF('Машины на заводе'!$M$4:$M$1000="",1,0)+IF('Машины на заводе'!$L$4:$L$1000&lt;&gt;"",1,0)=2,ROW('Машины на заводе'!$A$4:$A$1000)),ROW(B15))),"")</f>
        <v/>
      </c>
      <c r="I17" s="105" cm="1">
        <f t="array" ref="I17">IFERROR(INDEX('Машины на заводе'!$B$1:$B$1000,LARGE(IF(IF('Машины на заводе'!$M$4:$M$1000="",1,0)+IF('Машины на заводе'!$K$4:$K$1000&lt;&gt;"",1,0)=2,ROW('Машины на заводе'!$A$4:$A$1000)),ROW(B15))),"")</f>
        <v>12</v>
      </c>
      <c r="J17" s="105" t="str" cm="1">
        <f t="array" ref="J17">IFERROR(INDEX('Машины на заводе'!$B$1:$B$1000,LARGE(IF(IF('Машины на заводе'!$N$4:$N$1000="",1,0)+IF('Машины на заводе'!$M$4:$M$1000&lt;&gt;"",1,0)=2,ROW('Машины на заводе'!$A$4:$A$1000)),ROW(B15))),"")</f>
        <v/>
      </c>
      <c r="P17" s="28"/>
      <c r="Q17" s="28"/>
      <c r="R17" s="28"/>
      <c r="S17" s="28"/>
      <c r="T17" s="30"/>
      <c r="U17" s="30"/>
      <c r="V17" s="30"/>
      <c r="W17" s="28"/>
      <c r="X17" s="28"/>
      <c r="Y17" s="28"/>
      <c r="Z17" s="28"/>
      <c r="AA17" s="28"/>
      <c r="AB17" s="165">
        <f>IF(C54="","",C54)</f>
        <v>1</v>
      </c>
      <c r="AC17" s="166"/>
      <c r="AD17" s="167"/>
      <c r="AE17" s="40"/>
      <c r="AF17" s="165">
        <f>IF(C53="","",C53)</f>
        <v>1</v>
      </c>
      <c r="AG17" s="166"/>
      <c r="AH17" s="167"/>
      <c r="AI17" s="40"/>
      <c r="AJ17" s="165">
        <f>IF(C52="","",C52)</f>
        <v>1</v>
      </c>
      <c r="AK17" s="166"/>
      <c r="AL17" s="167"/>
      <c r="AM17" s="40"/>
      <c r="AN17" s="165">
        <f>IF(C51="","",C51)</f>
        <v>1</v>
      </c>
      <c r="AO17" s="166"/>
      <c r="AP17" s="167"/>
      <c r="AQ17" s="40"/>
      <c r="AR17" s="165">
        <f>IF(C50="","",C50)</f>
        <v>1</v>
      </c>
      <c r="AS17" s="166"/>
      <c r="AT17" s="167"/>
      <c r="AU17" s="40"/>
      <c r="AV17" s="165">
        <f>IF(C49="","",C49)</f>
        <v>1</v>
      </c>
      <c r="AW17" s="166"/>
      <c r="AX17" s="167"/>
      <c r="AY17" s="40"/>
      <c r="AZ17" s="165">
        <f>IF(C48="","",C48)</f>
        <v>1</v>
      </c>
      <c r="BA17" s="166"/>
      <c r="BB17" s="167"/>
      <c r="BC17" s="40"/>
      <c r="BD17" s="165">
        <f>IF(C47="","",C47)</f>
        <v>1</v>
      </c>
      <c r="BE17" s="166"/>
      <c r="BF17" s="167"/>
      <c r="BG17" s="28"/>
      <c r="BH17" s="28"/>
      <c r="BI17" s="204"/>
      <c r="BJ17" s="195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04"/>
      <c r="BV17" s="195"/>
      <c r="BW17" s="28"/>
      <c r="BX17" s="28"/>
      <c r="BY17" s="28"/>
      <c r="BZ17" s="28"/>
    </row>
    <row r="18" spans="1:78" ht="24.95" customHeight="1" x14ac:dyDescent="0.2">
      <c r="A18" s="163"/>
      <c r="B18" s="107" t="s">
        <v>206</v>
      </c>
      <c r="C18" s="51">
        <v>1</v>
      </c>
      <c r="D18" s="139" t="str">
        <f>_xlfn.IFNA(VLOOKUP(MID(_xlfn.XLOOKUP(C18,'Машины на заводе'!$B$3:$B$1000,'Машины на заводе'!$F$3:$F$1000,"",,-1),3,1),$CC$1:$CD$5,2,0),"")</f>
        <v>ККС</v>
      </c>
      <c r="F18" s="105" t="str" cm="1">
        <f t="array" ref="F18">IFERROR(INDEX('Машины на заводе'!$B$1:$B$1000,LARGE(IF(IF('Машины на заводе'!$H$4:$H$1000="",1,0)+IF('Машины на заводе'!$G$4:$G$1000&lt;&gt;"",1,0)=2,ROW('Машины на заводе'!$A$4:$A$1000)),ROW(B16))),"")</f>
        <v/>
      </c>
      <c r="G18" s="105" cm="1">
        <f t="array" ref="G18">IFERROR(INDEX('Машины на заводе'!$B$1:$B$1000,LARGE(IF(IF('Машины на заводе'!$J$4:$J$1000="",1,0)+IF('Машины на заводе'!$I$4:$I$1000&lt;&gt;"",1,0)=2,ROW('Машины на заводе'!$A$4:$A$1000)),ROW(B16))),"")</f>
        <v>29</v>
      </c>
      <c r="H18" s="105" t="str" cm="1">
        <f t="array" ref="H18">IFERROR(INDEX('Машины на заводе'!$B$1:$B$1000,LARGE(IF(IF('Машины на заводе'!$M$4:$M$1000="",1,0)+IF('Машины на заводе'!$L$4:$L$1000&lt;&gt;"",1,0)=2,ROW('Машины на заводе'!$A$4:$A$1000)),ROW(B16))),"")</f>
        <v/>
      </c>
      <c r="I18" s="105" cm="1">
        <f t="array" ref="I18">IFERROR(INDEX('Машины на заводе'!$B$1:$B$1000,LARGE(IF(IF('Машины на заводе'!$M$4:$M$1000="",1,0)+IF('Машины на заводе'!$K$4:$K$1000&lt;&gt;"",1,0)=2,ROW('Машины на заводе'!$A$4:$A$1000)),ROW(B16))),"")</f>
        <v>11</v>
      </c>
      <c r="J18" s="105" t="str" cm="1">
        <f t="array" ref="J18">IFERROR(INDEX('Машины на заводе'!$B$1:$B$1000,LARGE(IF(IF('Машины на заводе'!$N$4:$N$1000="",1,0)+IF('Машины на заводе'!$M$4:$M$1000&lt;&gt;"",1,0)=2,ROW('Машины на заводе'!$A$4:$A$1000)),ROW(B16))),"")</f>
        <v/>
      </c>
      <c r="L18" s="176" t="s">
        <v>240</v>
      </c>
      <c r="M18" s="176"/>
      <c r="N18" s="176"/>
      <c r="P18" s="28"/>
      <c r="Q18" s="28"/>
      <c r="R18" s="28"/>
      <c r="S18" s="28"/>
      <c r="T18" s="30"/>
      <c r="U18" s="30"/>
      <c r="V18" s="30"/>
      <c r="W18" s="28"/>
      <c r="X18" s="28"/>
      <c r="Y18" s="28"/>
      <c r="Z18" s="28"/>
      <c r="AA18" s="28"/>
      <c r="AB18" s="168" t="str">
        <f>D54</f>
        <v>Самосвал</v>
      </c>
      <c r="AC18" s="169"/>
      <c r="AD18" s="170"/>
      <c r="AE18" s="40"/>
      <c r="AF18" s="168" t="str">
        <f>D53</f>
        <v>Самосвал</v>
      </c>
      <c r="AG18" s="169"/>
      <c r="AH18" s="170"/>
      <c r="AI18" s="40"/>
      <c r="AJ18" s="168" t="str">
        <f>D52</f>
        <v>Самосвал</v>
      </c>
      <c r="AK18" s="169"/>
      <c r="AL18" s="170"/>
      <c r="AM18" s="40"/>
      <c r="AN18" s="168" t="str">
        <f>D51</f>
        <v>Самосвал</v>
      </c>
      <c r="AO18" s="169"/>
      <c r="AP18" s="170"/>
      <c r="AQ18" s="40"/>
      <c r="AR18" s="168" t="str">
        <f>D50</f>
        <v>Самосвал</v>
      </c>
      <c r="AS18" s="169"/>
      <c r="AT18" s="170"/>
      <c r="AU18" s="40"/>
      <c r="AV18" s="168" t="str">
        <f>D49</f>
        <v>Самосвал</v>
      </c>
      <c r="AW18" s="169"/>
      <c r="AX18" s="170"/>
      <c r="AY18" s="40"/>
      <c r="AZ18" s="168" t="str">
        <f>D48</f>
        <v>Самосвал</v>
      </c>
      <c r="BA18" s="169"/>
      <c r="BB18" s="170"/>
      <c r="BC18" s="40"/>
      <c r="BD18" s="168" t="str">
        <f>D47</f>
        <v>Самосвал</v>
      </c>
      <c r="BE18" s="169"/>
      <c r="BF18" s="170"/>
      <c r="BG18" s="28"/>
      <c r="BH18" s="28"/>
      <c r="BI18" s="205"/>
      <c r="BJ18" s="196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05"/>
      <c r="BV18" s="196"/>
      <c r="BW18" s="28"/>
      <c r="BX18" s="28"/>
      <c r="BY18" s="28"/>
      <c r="BZ18" s="28"/>
    </row>
    <row r="19" spans="1:78" ht="24.95" customHeight="1" x14ac:dyDescent="0.2">
      <c r="A19" s="163"/>
      <c r="B19" s="127" t="s">
        <v>204</v>
      </c>
      <c r="C19" s="51">
        <v>1</v>
      </c>
      <c r="D19" s="139" t="str">
        <f>_xlfn.IFNA(VLOOKUP(MID(_xlfn.XLOOKUP(C19,'Машины на заводе'!$B$3:$B$1000,'Машины на заводе'!$F$3:$F$1000,"",,-1),3,1),$CC$1:$CD$5,2,0),"")</f>
        <v>ККС</v>
      </c>
      <c r="F19" s="105" t="str" cm="1">
        <f t="array" ref="F19">IFERROR(INDEX('Машины на заводе'!$B$1:$B$1000,LARGE(IF(IF('Машины на заводе'!$H$4:$H$1000="",1,0)+IF('Машины на заводе'!$G$4:$G$1000&lt;&gt;"",1,0)=2,ROW('Машины на заводе'!$A$4:$A$1000)),ROW(B17))),"")</f>
        <v/>
      </c>
      <c r="G19" s="105" cm="1">
        <f t="array" ref="G19">IFERROR(INDEX('Машины на заводе'!$B$1:$B$1000,LARGE(IF(IF('Машины на заводе'!$J$4:$J$1000="",1,0)+IF('Машины на заводе'!$I$4:$I$1000&lt;&gt;"",1,0)=2,ROW('Машины на заводе'!$A$4:$A$1000)),ROW(B17))),"")</f>
        <v>28</v>
      </c>
      <c r="H19" s="105" t="str" cm="1">
        <f t="array" ref="H19">IFERROR(INDEX('Машины на заводе'!$B$1:$B$1000,LARGE(IF(IF('Машины на заводе'!$M$4:$M$1000="",1,0)+IF('Машины на заводе'!$L$4:$L$1000&lt;&gt;"",1,0)=2,ROW('Машины на заводе'!$A$4:$A$1000)),ROW(B17))),"")</f>
        <v/>
      </c>
      <c r="I19" s="105" cm="1">
        <f t="array" ref="I19">IFERROR(INDEX('Машины на заводе'!$B$1:$B$1000,LARGE(IF(IF('Машины на заводе'!$M$4:$M$1000="",1,0)+IF('Машины на заводе'!$K$4:$K$1000&lt;&gt;"",1,0)=2,ROW('Машины на заводе'!$A$4:$A$1000)),ROW(B17))),"")</f>
        <v>10</v>
      </c>
      <c r="J19" s="105" t="str" cm="1">
        <f t="array" ref="J19">IFERROR(INDEX('Машины на заводе'!$B$1:$B$1000,LARGE(IF(IF('Машины на заводе'!$N$4:$N$1000="",1,0)+IF('Машины на заводе'!$M$4:$M$1000&lt;&gt;"",1,0)=2,ROW('Машины на заводе'!$A$4:$A$1000)),ROW(B17))),"")</f>
        <v/>
      </c>
      <c r="L19" s="176"/>
      <c r="M19" s="176"/>
      <c r="N19" s="176"/>
      <c r="P19" s="28"/>
      <c r="Q19" s="200">
        <v>1</v>
      </c>
      <c r="R19" s="197" t="str">
        <f>D57</f>
        <v>Самосвал</v>
      </c>
      <c r="S19" s="28"/>
      <c r="T19" s="203">
        <f>IF(C56="","",C56)</f>
        <v>1</v>
      </c>
      <c r="U19" s="194" t="str">
        <f>D56</f>
        <v>Самосвал</v>
      </c>
      <c r="V19" s="30"/>
      <c r="W19" s="203">
        <f>IF(C55="","",C55)</f>
        <v>1</v>
      </c>
      <c r="X19" s="194" t="str">
        <f>D55</f>
        <v>Самосвал</v>
      </c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</row>
    <row r="20" spans="1:78" ht="24.95" customHeight="1" x14ac:dyDescent="0.2">
      <c r="A20" s="163"/>
      <c r="B20" s="127" t="s">
        <v>203</v>
      </c>
      <c r="C20" s="51">
        <v>1</v>
      </c>
      <c r="D20" s="139" t="str">
        <f>_xlfn.IFNA(VLOOKUP(MID(_xlfn.XLOOKUP(C20,'Машины на заводе'!$B$3:$B$1000,'Машины на заводе'!$F$3:$F$1000,"",,-1),3,1),$CC$1:$CD$5,2,0),"")</f>
        <v>ККС</v>
      </c>
      <c r="F20" s="105" t="str" cm="1">
        <f t="array" ref="F20">IFERROR(INDEX('Машины на заводе'!$B$1:$B$1000,LARGE(IF(IF('Машины на заводе'!$H$4:$H$1000="",1,0)+IF('Машины на заводе'!$G$4:$G$1000&lt;&gt;"",1,0)=2,ROW('Машины на заводе'!$A$4:$A$1000)),ROW(B18))),"")</f>
        <v/>
      </c>
      <c r="G20" s="105" cm="1">
        <f t="array" ref="G20">IFERROR(INDEX('Машины на заводе'!$B$1:$B$1000,LARGE(IF(IF('Машины на заводе'!$J$4:$J$1000="",1,0)+IF('Машины на заводе'!$I$4:$I$1000&lt;&gt;"",1,0)=2,ROW('Машины на заводе'!$A$4:$A$1000)),ROW(B18))),"")</f>
        <v>27</v>
      </c>
      <c r="H20" s="105" t="str" cm="1">
        <f t="array" ref="H20">IFERROR(INDEX('Машины на заводе'!$B$1:$B$1000,LARGE(IF(IF('Машины на заводе'!$M$4:$M$1000="",1,0)+IF('Машины на заводе'!$L$4:$L$1000&lt;&gt;"",1,0)=2,ROW('Машины на заводе'!$A$4:$A$1000)),ROW(B18))),"")</f>
        <v/>
      </c>
      <c r="I20" s="105" cm="1">
        <f t="array" ref="I20">IFERROR(INDEX('Машины на заводе'!$B$1:$B$1000,LARGE(IF(IF('Машины на заводе'!$M$4:$M$1000="",1,0)+IF('Машины на заводе'!$K$4:$K$1000&lt;&gt;"",1,0)=2,ROW('Машины на заводе'!$A$4:$A$1000)),ROW(B18))),"")</f>
        <v>9</v>
      </c>
      <c r="J20" s="105" t="str" cm="1">
        <f t="array" ref="J20">IFERROR(INDEX('Машины на заводе'!$B$1:$B$1000,LARGE(IF(IF('Машины на заводе'!$N$4:$N$1000="",1,0)+IF('Машины на заводе'!$M$4:$M$1000&lt;&gt;"",1,0)=2,ROW('Машины на заводе'!$A$4:$A$1000)),ROW(B18))),"")</f>
        <v/>
      </c>
      <c r="L20" s="175" t="s">
        <v>238</v>
      </c>
      <c r="M20" s="175"/>
      <c r="N20" s="175"/>
      <c r="P20" s="28"/>
      <c r="Q20" s="201"/>
      <c r="R20" s="198"/>
      <c r="S20" s="28"/>
      <c r="T20" s="204"/>
      <c r="U20" s="195"/>
      <c r="V20" s="30"/>
      <c r="W20" s="204"/>
      <c r="X20" s="195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</row>
    <row r="21" spans="1:78" ht="24.95" customHeight="1" x14ac:dyDescent="0.25">
      <c r="A21" s="163"/>
      <c r="B21" s="127" t="s">
        <v>202</v>
      </c>
      <c r="C21" s="51">
        <v>1</v>
      </c>
      <c r="D21" s="139" t="str">
        <f>_xlfn.IFNA(VLOOKUP(MID(_xlfn.XLOOKUP(C21,'Машины на заводе'!$B$3:$B$1000,'Машины на заводе'!$F$3:$F$1000,"",,-1),3,1),$CC$1:$CD$5,2,0),"")</f>
        <v>ККС</v>
      </c>
      <c r="F21" s="105" t="str" cm="1">
        <f t="array" ref="F21">IFERROR(INDEX('Машины на заводе'!$B$1:$B$1000,LARGE(IF(IF('Машины на заводе'!$H$4:$H$1000="",1,0)+IF('Машины на заводе'!$G$4:$G$1000&lt;&gt;"",1,0)=2,ROW('Машины на заводе'!$A$4:$A$1000)),ROW(B19))),"")</f>
        <v/>
      </c>
      <c r="G21" s="105" cm="1">
        <f t="array" ref="G21">IFERROR(INDEX('Машины на заводе'!$B$1:$B$1000,LARGE(IF(IF('Машины на заводе'!$J$4:$J$1000="",1,0)+IF('Машины на заводе'!$I$4:$I$1000&lt;&gt;"",1,0)=2,ROW('Машины на заводе'!$A$4:$A$1000)),ROW(B19))),"")</f>
        <v>26</v>
      </c>
      <c r="H21" s="105" t="str" cm="1">
        <f t="array" ref="H21">IFERROR(INDEX('Машины на заводе'!$B$1:$B$1000,LARGE(IF(IF('Машины на заводе'!$M$4:$M$1000="",1,0)+IF('Машины на заводе'!$L$4:$L$1000&lt;&gt;"",1,0)=2,ROW('Машины на заводе'!$A$4:$A$1000)),ROW(B19))),"")</f>
        <v/>
      </c>
      <c r="I21" s="105" cm="1">
        <f t="array" ref="I21">IFERROR(INDEX('Машины на заводе'!$B$1:$B$1000,LARGE(IF(IF('Машины на заводе'!$M$4:$M$1000="",1,0)+IF('Машины на заводе'!$K$4:$K$1000&lt;&gt;"",1,0)=2,ROW('Машины на заводе'!$A$4:$A$1000)),ROW(B19))),"")</f>
        <v>8</v>
      </c>
      <c r="J21" s="105" t="str" cm="1">
        <f t="array" ref="J21">IFERROR(INDEX('Машины на заводе'!$B$1:$B$1000,LARGE(IF(IF('Машины на заводе'!$N$4:$N$1000="",1,0)+IF('Машины на заводе'!$M$4:$M$1000&lt;&gt;"",1,0)=2,ROW('Машины на заводе'!$A$4:$A$1000)),ROW(B19))),"")</f>
        <v/>
      </c>
      <c r="K21" s="27">
        <v>4</v>
      </c>
      <c r="L21" s="175"/>
      <c r="M21" s="175"/>
      <c r="N21" s="175"/>
      <c r="P21" s="28"/>
      <c r="Q21" s="201"/>
      <c r="R21" s="198"/>
      <c r="S21" s="28"/>
      <c r="T21" s="204"/>
      <c r="U21" s="195"/>
      <c r="V21" s="30"/>
      <c r="W21" s="204"/>
      <c r="X21" s="195"/>
      <c r="Y21" s="30"/>
      <c r="Z21" s="28"/>
      <c r="AA21" s="28"/>
      <c r="AB21" s="28"/>
      <c r="AC21" s="28"/>
      <c r="AD21" s="31"/>
      <c r="AE21" s="31"/>
      <c r="AF21" s="31"/>
      <c r="AG21" s="31"/>
      <c r="AH21" s="31"/>
      <c r="AI21" s="31"/>
      <c r="AJ21" s="28"/>
      <c r="AK21" s="28"/>
      <c r="AL21" s="28"/>
      <c r="AM21" s="28"/>
      <c r="AN21" s="31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</row>
    <row r="22" spans="1:78" ht="24.95" customHeight="1" x14ac:dyDescent="0.25">
      <c r="A22" s="163"/>
      <c r="B22" s="127" t="s">
        <v>201</v>
      </c>
      <c r="C22" s="51">
        <v>1</v>
      </c>
      <c r="D22" s="139" t="str">
        <f>_xlfn.IFNA(VLOOKUP(MID(_xlfn.XLOOKUP(C22,'Машины на заводе'!$B$3:$B$1000,'Машины на заводе'!$F$3:$F$1000,"",,-1),3,1),$CC$1:$CD$5,2,0),"")</f>
        <v>ККС</v>
      </c>
      <c r="F22" s="105" t="str" cm="1">
        <f t="array" ref="F22">IFERROR(INDEX('Машины на заводе'!$B$1:$B$1000,LARGE(IF(IF('Машины на заводе'!$H$4:$H$1000="",1,0)+IF('Машины на заводе'!$G$4:$G$1000&lt;&gt;"",1,0)=2,ROW('Машины на заводе'!$A$4:$A$1000)),ROW(B20))),"")</f>
        <v/>
      </c>
      <c r="G22" s="105" cm="1">
        <f t="array" ref="G22">IFERROR(INDEX('Машины на заводе'!$B$1:$B$1000,LARGE(IF(IF('Машины на заводе'!$J$4:$J$1000="",1,0)+IF('Машины на заводе'!$I$4:$I$1000&lt;&gt;"",1,0)=2,ROW('Машины на заводе'!$A$4:$A$1000)),ROW(B20))),"")</f>
        <v>25</v>
      </c>
      <c r="H22" s="105" t="str" cm="1">
        <f t="array" ref="H22">IFERROR(INDEX('Машины на заводе'!$B$1:$B$1000,LARGE(IF(IF('Машины на заводе'!$M$4:$M$1000="",1,0)+IF('Машины на заводе'!$L$4:$L$1000&lt;&gt;"",1,0)=2,ROW('Машины на заводе'!$A$4:$A$1000)),ROW(B20))),"")</f>
        <v/>
      </c>
      <c r="I22" s="105" t="str" cm="1">
        <f t="array" ref="I22">IFERROR(INDEX('Машины на заводе'!$B$1:$B$1000,LARGE(IF(IF('Машины на заводе'!$M$4:$M$1000="",1,0)+IF('Машины на заводе'!$K$4:$K$1000&lt;&gt;"",1,0)=2,ROW('Машины на заводе'!$A$4:$A$1000)),ROW(B20))),"")</f>
        <v/>
      </c>
      <c r="J22" s="105" t="str" cm="1">
        <f t="array" ref="J22">IFERROR(INDEX('Машины на заводе'!$B$1:$B$1000,LARGE(IF(IF('Машины на заводе'!$N$4:$N$1000="",1,0)+IF('Машины на заводе'!$M$4:$M$1000&lt;&gt;"",1,0)=2,ROW('Машины на заводе'!$A$4:$A$1000)),ROW(B20))),"")</f>
        <v/>
      </c>
      <c r="P22" s="28"/>
      <c r="Q22" s="202"/>
      <c r="R22" s="199"/>
      <c r="S22" s="28"/>
      <c r="T22" s="205"/>
      <c r="U22" s="196"/>
      <c r="V22" s="30"/>
      <c r="W22" s="205"/>
      <c r="X22" s="196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31"/>
      <c r="AK22" s="31"/>
      <c r="AL22" s="31"/>
      <c r="AM22" s="31"/>
      <c r="AN22" s="28"/>
      <c r="AO22" s="28"/>
      <c r="AP22" s="28"/>
      <c r="AQ22" s="28"/>
      <c r="AR22" s="28"/>
      <c r="AS22" s="28"/>
      <c r="AT22" s="28"/>
      <c r="AU22" s="28"/>
      <c r="AV22" s="28"/>
      <c r="AW22" s="31"/>
      <c r="AX22" s="187" t="s">
        <v>144</v>
      </c>
      <c r="AY22" s="187"/>
      <c r="AZ22" s="187"/>
      <c r="BA22" s="187"/>
      <c r="BB22" s="187"/>
      <c r="BC22" s="187"/>
      <c r="BD22" s="187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</row>
    <row r="23" spans="1:78" ht="24.95" customHeight="1" x14ac:dyDescent="0.2">
      <c r="A23" s="163"/>
      <c r="B23" s="127" t="s">
        <v>200</v>
      </c>
      <c r="C23" s="51">
        <v>1</v>
      </c>
      <c r="D23" s="139" t="str">
        <f>_xlfn.IFNA(VLOOKUP(MID(_xlfn.XLOOKUP(C23,'Машины на заводе'!$B$3:$B$1000,'Машины на заводе'!$F$3:$F$1000,"",,-1),3,1),$CC$1:$CD$5,2,0),"")</f>
        <v>ККС</v>
      </c>
      <c r="F23" s="105" t="str" cm="1">
        <f t="array" ref="F23">IFERROR(INDEX('Машины на заводе'!$B$1:$B$1000,LARGE(IF(IF('Машины на заводе'!$H$4:$H$1000="",1,0)+IF('Машины на заводе'!$G$4:$G$1000&lt;&gt;"",1,0)=2,ROW('Машины на заводе'!$A$4:$A$1000)),ROW(B21))),"")</f>
        <v/>
      </c>
      <c r="G23" s="105" cm="1">
        <f t="array" ref="G23">IFERROR(INDEX('Машины на заводе'!$B$1:$B$1000,LARGE(IF(IF('Машины на заводе'!$J$4:$J$1000="",1,0)+IF('Машины на заводе'!$I$4:$I$1000&lt;&gt;"",1,0)=2,ROW('Машины на заводе'!$A$4:$A$1000)),ROW(B21))),"")</f>
        <v>24</v>
      </c>
      <c r="H23" s="105" t="str" cm="1">
        <f t="array" ref="H23">IFERROR(INDEX('Машины на заводе'!$B$1:$B$1000,LARGE(IF(IF('Машины на заводе'!$M$4:$M$1000="",1,0)+IF('Машины на заводе'!$L$4:$L$1000&lt;&gt;"",1,0)=2,ROW('Машины на заводе'!$A$4:$A$1000)),ROW(B21))),"")</f>
        <v/>
      </c>
      <c r="I23" s="105" t="str" cm="1">
        <f t="array" ref="I23">IFERROR(INDEX('Машины на заводе'!$B$1:$B$1000,LARGE(IF(IF('Машины на заводе'!$M$4:$M$1000="",1,0)+IF('Машины на заводе'!$K$4:$K$1000&lt;&gt;"",1,0)=2,ROW('Машины на заводе'!$A$4:$A$1000)),ROW(B21))),"")</f>
        <v/>
      </c>
      <c r="J23" s="105" t="str" cm="1">
        <f t="array" ref="J23">IFERROR(INDEX('Машины на заводе'!$B$1:$B$1000,LARGE(IF(IF('Машины на заводе'!$N$4:$N$1000="",1,0)+IF('Машины на заводе'!$M$4:$M$1000&lt;&gt;"",1,0)=2,ROW('Машины на заводе'!$A$4:$A$1000)),ROW(B21))),"")</f>
        <v/>
      </c>
      <c r="L23" s="176" t="s">
        <v>241</v>
      </c>
      <c r="M23" s="176"/>
      <c r="N23" s="176"/>
      <c r="P23" s="28"/>
      <c r="Q23" s="28"/>
      <c r="R23" s="28"/>
      <c r="S23" s="28"/>
      <c r="T23" s="37"/>
      <c r="U23" s="37"/>
      <c r="V23" s="37"/>
      <c r="W23" s="38"/>
      <c r="X23" s="38"/>
      <c r="Y23" s="38"/>
      <c r="Z23" s="38"/>
      <c r="AA23" s="37"/>
      <c r="AB23" s="36"/>
      <c r="AC23" s="36"/>
      <c r="AD23" s="36"/>
      <c r="AE23" s="36"/>
      <c r="AF23" s="100">
        <f>IF(C25="","",C25)</f>
        <v>1</v>
      </c>
      <c r="AG23" s="39"/>
      <c r="AH23" s="100">
        <f>IF(C26="","",C26)</f>
        <v>1</v>
      </c>
      <c r="AI23" s="39"/>
      <c r="AJ23" s="100">
        <v>7</v>
      </c>
      <c r="AK23" s="39"/>
      <c r="AL23" s="100">
        <f>IF(C30="","",C30)</f>
        <v>1</v>
      </c>
      <c r="AM23" s="40"/>
      <c r="AN23" s="100">
        <f>IF(C33="","",C33)</f>
        <v>1</v>
      </c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28"/>
      <c r="BJ23" s="28"/>
      <c r="BK23" s="28"/>
      <c r="BL23" s="28"/>
      <c r="BM23" s="28"/>
      <c r="BN23" s="28"/>
      <c r="BO23" s="28"/>
      <c r="BP23" s="28"/>
      <c r="BQ23" s="28"/>
      <c r="BR23" s="44" t="s">
        <v>146</v>
      </c>
      <c r="BS23" s="141"/>
      <c r="BT23" s="28"/>
      <c r="BU23" s="28"/>
      <c r="BV23" s="28"/>
      <c r="BW23" s="28"/>
      <c r="BX23" s="28"/>
      <c r="BY23" s="28"/>
      <c r="BZ23" s="28"/>
    </row>
    <row r="24" spans="1:78" ht="24.95" customHeight="1" x14ac:dyDescent="0.2">
      <c r="A24" s="163"/>
      <c r="B24" s="127" t="s">
        <v>199</v>
      </c>
      <c r="C24" s="51">
        <v>1</v>
      </c>
      <c r="D24" s="139" t="str">
        <f>_xlfn.IFNA(VLOOKUP(MID(_xlfn.XLOOKUP(C24,'Машины на заводе'!$B$3:$B$1000,'Машины на заводе'!$F$3:$F$1000,"",,-1),3,1),$CC$1:$CD$5,2,0),"")</f>
        <v>ККС</v>
      </c>
      <c r="F24" s="105" t="str" cm="1">
        <f t="array" ref="F24">IFERROR(INDEX('Машины на заводе'!$B$1:$B$1000,LARGE(IF(IF('Машины на заводе'!$H$4:$H$1000="",1,0)+IF('Машины на заводе'!$G$4:$G$1000&lt;&gt;"",1,0)=2,ROW('Машины на заводе'!$A$4:$A$1000)),ROW(B22))),"")</f>
        <v/>
      </c>
      <c r="G24" s="105" cm="1">
        <f t="array" ref="G24">IFERROR(INDEX('Машины на заводе'!$B$1:$B$1000,LARGE(IF(IF('Машины на заводе'!$J$4:$J$1000="",1,0)+IF('Машины на заводе'!$I$4:$I$1000&lt;&gt;"",1,0)=2,ROW('Машины на заводе'!$A$4:$A$1000)),ROW(B22))),"")</f>
        <v>23</v>
      </c>
      <c r="H24" s="105" t="str" cm="1">
        <f t="array" ref="H24">IFERROR(INDEX('Машины на заводе'!$B$1:$B$1000,LARGE(IF(IF('Машины на заводе'!$M$4:$M$1000="",1,0)+IF('Машины на заводе'!$L$4:$L$1000&lt;&gt;"",1,0)=2,ROW('Машины на заводе'!$A$4:$A$1000)),ROW(B22))),"")</f>
        <v/>
      </c>
      <c r="I24" s="105" t="str" cm="1">
        <f t="array" ref="I24">IFERROR(INDEX('Машины на заводе'!$B$1:$B$1000,LARGE(IF(IF('Машины на заводе'!$M$4:$M$1000="",1,0)+IF('Машины на заводе'!$K$4:$K$1000&lt;&gt;"",1,0)=2,ROW('Машины на заводе'!$A$4:$A$1000)),ROW(B22))),"")</f>
        <v/>
      </c>
      <c r="J24" s="105" t="str" cm="1">
        <f t="array" ref="J24">IFERROR(INDEX('Машины на заводе'!$B$1:$B$1000,LARGE(IF(IF('Машины на заводе'!$N$4:$N$1000="",1,0)+IF('Машины на заводе'!$M$4:$M$1000&lt;&gt;"",1,0)=2,ROW('Машины на заводе'!$A$4:$A$1000)),ROW(B22))),"")</f>
        <v/>
      </c>
      <c r="L24" s="176"/>
      <c r="M24" s="176"/>
      <c r="N24" s="176"/>
      <c r="P24" s="28"/>
      <c r="Q24" s="28"/>
      <c r="R24" s="28"/>
      <c r="S24" s="28"/>
      <c r="T24" s="190">
        <f>IF(C19="","",C19)</f>
        <v>1</v>
      </c>
      <c r="U24" s="191"/>
      <c r="V24" s="39"/>
      <c r="W24" s="190">
        <f>IF(C20="","",C20)</f>
        <v>1</v>
      </c>
      <c r="X24" s="191"/>
      <c r="Y24" s="39"/>
      <c r="Z24" s="100">
        <f>IF(C21="","",C21)</f>
        <v>1</v>
      </c>
      <c r="AA24" s="39"/>
      <c r="AB24" s="100">
        <f>IF(C22="","",C22)</f>
        <v>1</v>
      </c>
      <c r="AC24" s="39"/>
      <c r="AD24" s="100">
        <f>IF(C23="","",C23)</f>
        <v>1</v>
      </c>
      <c r="AE24" s="37"/>
      <c r="AF24" s="121" t="str">
        <f>D25</f>
        <v>ККС</v>
      </c>
      <c r="AG24" s="120"/>
      <c r="AH24" s="121" t="str">
        <f>D26</f>
        <v>ККС</v>
      </c>
      <c r="AI24" s="120"/>
      <c r="AJ24" s="121" t="str">
        <f>D29</f>
        <v>ККС</v>
      </c>
      <c r="AK24" s="120"/>
      <c r="AL24" s="121" t="str">
        <f>D30</f>
        <v>ККС</v>
      </c>
      <c r="AM24" s="75"/>
      <c r="AN24" s="115" t="str">
        <f>D33</f>
        <v>ККС</v>
      </c>
      <c r="AO24" s="36"/>
      <c r="AP24" s="100">
        <f>IF(C34="","",C34)</f>
        <v>1</v>
      </c>
      <c r="AQ24" s="40"/>
      <c r="AR24" s="100">
        <f>IF(C35="","",C35)</f>
        <v>1</v>
      </c>
      <c r="AS24" s="40"/>
      <c r="AT24" s="100">
        <f>IF(C36="","",C36)</f>
        <v>1</v>
      </c>
      <c r="AU24" s="40"/>
      <c r="AV24" s="100">
        <f>IF(C37="","",C37)</f>
        <v>1</v>
      </c>
      <c r="AW24" s="40"/>
      <c r="AX24" s="100">
        <f>IF(C38="","",C38)</f>
        <v>1</v>
      </c>
      <c r="AY24" s="40"/>
      <c r="AZ24" s="100">
        <f>IF(C39="","",C39)</f>
        <v>1</v>
      </c>
      <c r="BA24" s="40"/>
      <c r="BB24" s="100">
        <f>IF(C40="","",C40)</f>
        <v>1</v>
      </c>
      <c r="BC24" s="40"/>
      <c r="BD24" s="100">
        <f>IF(C41="","",C41)</f>
        <v>1</v>
      </c>
      <c r="BE24" s="40"/>
      <c r="BF24" s="100">
        <f>IF(C42="","",C42)</f>
        <v>1</v>
      </c>
      <c r="BG24" s="40"/>
      <c r="BH24" s="100">
        <f>IF(C43="","",C43)</f>
        <v>1</v>
      </c>
      <c r="BI24" s="28"/>
      <c r="BJ24" s="28"/>
      <c r="BK24" s="28"/>
      <c r="BL24" s="28"/>
      <c r="BM24" s="28"/>
      <c r="BN24" s="28"/>
      <c r="BO24" s="28"/>
      <c r="BP24" s="28"/>
      <c r="BQ24" s="28"/>
      <c r="BR24" s="190">
        <f>IF(C7="","",C7)</f>
        <v>1</v>
      </c>
      <c r="BS24" s="191"/>
      <c r="BT24" s="28"/>
      <c r="BU24" s="28"/>
      <c r="BV24" s="28"/>
      <c r="BW24" s="28"/>
      <c r="BX24" s="28"/>
      <c r="BY24" s="28"/>
      <c r="BZ24" s="28"/>
    </row>
    <row r="25" spans="1:78" ht="24.95" customHeight="1" x14ac:dyDescent="0.2">
      <c r="A25" s="163"/>
      <c r="B25" s="127" t="s">
        <v>198</v>
      </c>
      <c r="C25" s="51">
        <v>1</v>
      </c>
      <c r="D25" s="139" t="str">
        <f>_xlfn.IFNA(VLOOKUP(MID(_xlfn.XLOOKUP(C25,'Машины на заводе'!$B$3:$B$1000,'Машины на заводе'!$F$3:$F$1000,"",,-1),3,1),$CC$1:$CD$5,2,0),"")</f>
        <v>ККС</v>
      </c>
      <c r="F25" s="105" t="str" cm="1">
        <f t="array" ref="F25">IFERROR(INDEX('Машины на заводе'!$B$1:$B$1000,LARGE(IF(IF('Машины на заводе'!$H$4:$H$1000="",1,0)+IF('Машины на заводе'!$G$4:$G$1000&lt;&gt;"",1,0)=2,ROW('Машины на заводе'!$A$4:$A$1000)),ROW(B23))),"")</f>
        <v/>
      </c>
      <c r="G25" s="105" cm="1">
        <f t="array" ref="G25">IFERROR(INDEX('Машины на заводе'!$B$1:$B$1000,LARGE(IF(IF('Машины на заводе'!$J$4:$J$1000="",1,0)+IF('Машины на заводе'!$I$4:$I$1000&lt;&gt;"",1,0)=2,ROW('Машины на заводе'!$A$4:$A$1000)),ROW(B23))),"")</f>
        <v>22</v>
      </c>
      <c r="H25" s="105" t="str" cm="1">
        <f t="array" ref="H25">IFERROR(INDEX('Машины на заводе'!$B$1:$B$1000,LARGE(IF(IF('Машины на заводе'!$M$4:$M$1000="",1,0)+IF('Машины на заводе'!$L$4:$L$1000&lt;&gt;"",1,0)=2,ROW('Машины на заводе'!$A$4:$A$1000)),ROW(B23))),"")</f>
        <v/>
      </c>
      <c r="I25" s="105" t="str" cm="1">
        <f t="array" ref="I25">IFERROR(INDEX('Машины на заводе'!$B$1:$B$1000,LARGE(IF(IF('Машины на заводе'!$M$4:$M$1000="",1,0)+IF('Машины на заводе'!$K$4:$K$1000&lt;&gt;"",1,0)=2,ROW('Машины на заводе'!$A$4:$A$1000)),ROW(B23))),"")</f>
        <v/>
      </c>
      <c r="J25" s="105" t="str" cm="1">
        <f t="array" ref="J25">IFERROR(INDEX('Машины на заводе'!$B$1:$B$1000,LARGE(IF(IF('Машины на заводе'!$N$4:$N$1000="",1,0)+IF('Машины на заводе'!$M$4:$M$1000&lt;&gt;"",1,0)=2,ROW('Машины на заводе'!$A$4:$A$1000)),ROW(B23))),"")</f>
        <v/>
      </c>
      <c r="L25" s="175" t="s">
        <v>238</v>
      </c>
      <c r="M25" s="175"/>
      <c r="N25" s="175"/>
      <c r="P25" s="28"/>
      <c r="Q25" s="28"/>
      <c r="R25" s="28"/>
      <c r="S25" s="28"/>
      <c r="T25" s="192" t="str">
        <f>D19</f>
        <v>ККС</v>
      </c>
      <c r="U25" s="193"/>
      <c r="V25" s="120"/>
      <c r="W25" s="192" t="str">
        <f>D20</f>
        <v>ККС</v>
      </c>
      <c r="X25" s="193"/>
      <c r="Y25" s="120"/>
      <c r="Z25" s="121" t="str">
        <f>D21</f>
        <v>ККС</v>
      </c>
      <c r="AA25" s="120"/>
      <c r="AB25" s="121" t="str">
        <f>D22</f>
        <v>ККС</v>
      </c>
      <c r="AC25" s="120"/>
      <c r="AD25" s="121" t="str">
        <f>D23</f>
        <v>ККС</v>
      </c>
      <c r="AE25" s="37"/>
      <c r="AF25" s="100">
        <f>IF(C24="","",C24)</f>
        <v>1</v>
      </c>
      <c r="AG25" s="39"/>
      <c r="AH25" s="100">
        <f>IF(C27="","",C27)</f>
        <v>1</v>
      </c>
      <c r="AI25" s="39"/>
      <c r="AJ25" s="100">
        <v>6</v>
      </c>
      <c r="AK25" s="39"/>
      <c r="AL25" s="100">
        <f>IF(C31="","",C31)</f>
        <v>1</v>
      </c>
      <c r="AM25" s="40"/>
      <c r="AN25" s="100">
        <f>IF(C32="","",C32)</f>
        <v>1</v>
      </c>
      <c r="AO25" s="36"/>
      <c r="AP25" s="121" t="str">
        <f>D34</f>
        <v>ККС</v>
      </c>
      <c r="AQ25" s="122"/>
      <c r="AR25" s="121" t="str">
        <f>D35</f>
        <v>ККС</v>
      </c>
      <c r="AS25" s="122"/>
      <c r="AT25" s="121" t="str">
        <f>D36</f>
        <v>ККС</v>
      </c>
      <c r="AU25" s="122"/>
      <c r="AV25" s="121" t="str">
        <f>D37</f>
        <v>ККС</v>
      </c>
      <c r="AW25" s="122"/>
      <c r="AX25" s="121" t="str">
        <f>D38</f>
        <v>ККС</v>
      </c>
      <c r="AY25" s="122"/>
      <c r="AZ25" s="121" t="str">
        <f>D39</f>
        <v>ККС</v>
      </c>
      <c r="BA25" s="122"/>
      <c r="BB25" s="121" t="str">
        <f>D40</f>
        <v>ККС</v>
      </c>
      <c r="BC25" s="122"/>
      <c r="BD25" s="121" t="str">
        <f>D41</f>
        <v>ККС</v>
      </c>
      <c r="BE25" s="122"/>
      <c r="BF25" s="121" t="str">
        <f>D42</f>
        <v>ККС</v>
      </c>
      <c r="BG25" s="122"/>
      <c r="BH25" s="121" t="str">
        <f>D43</f>
        <v>ККС</v>
      </c>
      <c r="BI25" s="28"/>
      <c r="BJ25" s="28"/>
      <c r="BK25" s="28"/>
      <c r="BL25" s="28"/>
      <c r="BM25" s="28"/>
      <c r="BN25" s="28"/>
      <c r="BO25" s="28"/>
      <c r="BP25" s="28"/>
      <c r="BQ25" s="28"/>
      <c r="BR25" s="192" t="str">
        <f>D7</f>
        <v>ККС</v>
      </c>
      <c r="BS25" s="193"/>
      <c r="BT25" s="28"/>
      <c r="BU25" s="28"/>
      <c r="BV25" s="28"/>
      <c r="BW25" s="28"/>
      <c r="BX25" s="28"/>
      <c r="BY25" s="28"/>
      <c r="BZ25" s="28"/>
    </row>
    <row r="26" spans="1:78" ht="24.95" customHeight="1" x14ac:dyDescent="0.2">
      <c r="A26" s="163"/>
      <c r="B26" s="127" t="s">
        <v>197</v>
      </c>
      <c r="C26" s="51">
        <v>1</v>
      </c>
      <c r="D26" s="139" t="str">
        <f>_xlfn.IFNA(VLOOKUP(MID(_xlfn.XLOOKUP(C26,'Машины на заводе'!$B$3:$B$1000,'Машины на заводе'!$F$3:$F$1000,"",,-1),3,1),$CC$1:$CD$5,2,0),"")</f>
        <v>ККС</v>
      </c>
      <c r="F26" s="105" t="str" cm="1">
        <f t="array" ref="F26">IFERROR(INDEX('Машины на заводе'!$B$1:$B$1000,LARGE(IF(IF('Машины на заводе'!$H$4:$H$1000="",1,0)+IF('Машины на заводе'!$G$4:$G$1000&lt;&gt;"",1,0)=2,ROW('Машины на заводе'!$A$4:$A$1000)),ROW(B24))),"")</f>
        <v/>
      </c>
      <c r="G26" s="105" cm="1">
        <f t="array" ref="G26">IFERROR(INDEX('Машины на заводе'!$B$1:$B$1000,LARGE(IF(IF('Машины на заводе'!$J$4:$J$1000="",1,0)+IF('Машины на заводе'!$I$4:$I$1000&lt;&gt;"",1,0)=2,ROW('Машины на заводе'!$A$4:$A$1000)),ROW(B24))),"")</f>
        <v>21</v>
      </c>
      <c r="H26" s="105" t="str" cm="1">
        <f t="array" ref="H26">IFERROR(INDEX('Машины на заводе'!$B$1:$B$1000,LARGE(IF(IF('Машины на заводе'!$M$4:$M$1000="",1,0)+IF('Машины на заводе'!$L$4:$L$1000&lt;&gt;"",1,0)=2,ROW('Машины на заводе'!$A$4:$A$1000)),ROW(B24))),"")</f>
        <v/>
      </c>
      <c r="I26" s="105" t="str" cm="1">
        <f t="array" ref="I26">IFERROR(INDEX('Машины на заводе'!$B$1:$B$1000,LARGE(IF(IF('Машины на заводе'!$M$4:$M$1000="",1,0)+IF('Машины на заводе'!$K$4:$K$1000&lt;&gt;"",1,0)=2,ROW('Машины на заводе'!$A$4:$A$1000)),ROW(B24))),"")</f>
        <v/>
      </c>
      <c r="J26" s="105" t="str" cm="1">
        <f t="array" ref="J26">IFERROR(INDEX('Машины на заводе'!$B$1:$B$1000,LARGE(IF(IF('Машины на заводе'!$N$4:$N$1000="",1,0)+IF('Машины на заводе'!$M$4:$M$1000&lt;&gt;"",1,0)=2,ROW('Машины на заводе'!$A$4:$A$1000)),ROW(B24))),"")</f>
        <v/>
      </c>
      <c r="K26" s="27">
        <v>5</v>
      </c>
      <c r="L26" s="175"/>
      <c r="M26" s="175"/>
      <c r="N26" s="175"/>
      <c r="P26" s="28"/>
      <c r="Q26" s="209">
        <f>IF(C18="","",C18)</f>
        <v>1</v>
      </c>
      <c r="R26" s="210"/>
      <c r="S26" s="28"/>
      <c r="T26" s="37"/>
      <c r="U26" s="37"/>
      <c r="V26" s="37"/>
      <c r="W26" s="36"/>
      <c r="X26" s="36"/>
      <c r="Y26" s="36"/>
      <c r="Z26" s="36"/>
      <c r="AA26" s="36"/>
      <c r="AB26" s="36"/>
      <c r="AC26" s="36"/>
      <c r="AD26" s="36"/>
      <c r="AE26" s="36"/>
      <c r="AF26" s="121" t="str">
        <f>D24</f>
        <v>ККС</v>
      </c>
      <c r="AG26" s="120"/>
      <c r="AH26" s="121" t="str">
        <f>D27</f>
        <v>ККС</v>
      </c>
      <c r="AI26" s="120"/>
      <c r="AJ26" s="121" t="str">
        <f>D28</f>
        <v>ККС</v>
      </c>
      <c r="AK26" s="120"/>
      <c r="AL26" s="121" t="str">
        <f>D31</f>
        <v>ККС</v>
      </c>
      <c r="AM26" s="122"/>
      <c r="AN26" s="121" t="str">
        <f>D32</f>
        <v>ККС</v>
      </c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28"/>
      <c r="BJ26" s="28"/>
      <c r="BK26" s="28"/>
      <c r="BL26" s="28"/>
      <c r="BM26" s="28"/>
      <c r="BN26" s="28"/>
      <c r="BO26" s="28"/>
      <c r="BP26" s="28"/>
      <c r="BQ26" s="28"/>
      <c r="BR26" s="190">
        <f>IF(C6="","",C6)</f>
        <v>1</v>
      </c>
      <c r="BS26" s="191"/>
      <c r="BT26" s="28"/>
      <c r="BU26" s="28"/>
      <c r="BV26" s="28"/>
      <c r="BW26" s="28"/>
      <c r="BX26" s="28"/>
      <c r="BY26" s="28"/>
      <c r="BZ26" s="28"/>
    </row>
    <row r="27" spans="1:78" ht="24.95" customHeight="1" x14ac:dyDescent="0.2">
      <c r="A27" s="163"/>
      <c r="B27" s="127" t="s">
        <v>196</v>
      </c>
      <c r="C27" s="51">
        <v>1</v>
      </c>
      <c r="D27" s="139" t="str">
        <f>_xlfn.IFNA(VLOOKUP(MID(_xlfn.XLOOKUP(C27,'Машины на заводе'!$B$3:$B$1000,'Машины на заводе'!$F$3:$F$1000,"",,-1),3,1),$CC$1:$CD$5,2,0),"")</f>
        <v>ККС</v>
      </c>
      <c r="F27" s="105" t="str" cm="1">
        <f t="array" ref="F27">IFERROR(INDEX('Машины на заводе'!$B$1:$B$1000,LARGE(IF(IF('Машины на заводе'!$H$4:$H$1000="",1,0)+IF('Машины на заводе'!$G$4:$G$1000&lt;&gt;"",1,0)=2,ROW('Машины на заводе'!$A$4:$A$1000)),ROW(B25))),"")</f>
        <v/>
      </c>
      <c r="G27" s="105" cm="1">
        <f t="array" ref="G27">IFERROR(INDEX('Машины на заводе'!$B$1:$B$1000,LARGE(IF(IF('Машины на заводе'!$J$4:$J$1000="",1,0)+IF('Машины на заводе'!$I$4:$I$1000&lt;&gt;"",1,0)=2,ROW('Машины на заводе'!$A$4:$A$1000)),ROW(B25))),"")</f>
        <v>20</v>
      </c>
      <c r="H27" s="105" t="str" cm="1">
        <f t="array" ref="H27">IFERROR(INDEX('Машины на заводе'!$B$1:$B$1000,LARGE(IF(IF('Машины на заводе'!$M$4:$M$1000="",1,0)+IF('Машины на заводе'!$L$4:$L$1000&lt;&gt;"",1,0)=2,ROW('Машины на заводе'!$A$4:$A$1000)),ROW(B25))),"")</f>
        <v/>
      </c>
      <c r="I27" s="105" t="str" cm="1">
        <f t="array" ref="I27">IFERROR(INDEX('Машины на заводе'!$B$1:$B$1000,LARGE(IF(IF('Машины на заводе'!$M$4:$M$1000="",1,0)+IF('Машины на заводе'!$K$4:$K$1000&lt;&gt;"",1,0)=2,ROW('Машины на заводе'!$A$4:$A$1000)),ROW(B25))),"")</f>
        <v/>
      </c>
      <c r="J27" s="105" t="str" cm="1">
        <f t="array" ref="J27">IFERROR(INDEX('Машины на заводе'!$B$1:$B$1000,LARGE(IF(IF('Машины на заводе'!$N$4:$N$1000="",1,0)+IF('Машины на заводе'!$M$4:$M$1000&lt;&gt;"",1,0)=2,ROW('Машины на заводе'!$A$4:$A$1000)),ROW(B25))),"")</f>
        <v/>
      </c>
      <c r="P27" s="28"/>
      <c r="Q27" s="211" t="str">
        <f>D18</f>
        <v>ККС</v>
      </c>
      <c r="R27" s="212"/>
      <c r="S27" s="28"/>
      <c r="T27" s="173"/>
      <c r="U27" s="173"/>
      <c r="V27" s="173"/>
      <c r="W27" s="173"/>
      <c r="X27" s="104"/>
      <c r="Y27" s="104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5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  <c r="BR27" s="192" t="str">
        <f>D6</f>
        <v>ККС</v>
      </c>
      <c r="BS27" s="193"/>
      <c r="BT27" s="28"/>
      <c r="BU27" s="28"/>
      <c r="BV27" s="28"/>
      <c r="BW27" s="28"/>
      <c r="BX27" s="28"/>
      <c r="BY27" s="28"/>
      <c r="BZ27" s="28"/>
    </row>
    <row r="28" spans="1:78" ht="24.95" customHeight="1" x14ac:dyDescent="0.2">
      <c r="A28" s="163"/>
      <c r="B28" s="127" t="s">
        <v>195</v>
      </c>
      <c r="C28" s="51">
        <v>1</v>
      </c>
      <c r="D28" s="139" t="str">
        <f>_xlfn.IFNA(VLOOKUP(MID(_xlfn.XLOOKUP(C28,'Машины на заводе'!$B$3:$B$1000,'Машины на заводе'!$F$3:$F$1000,"",,-1),3,1),$CC$1:$CD$5,2,0),"")</f>
        <v>ККС</v>
      </c>
      <c r="F28" s="105" t="str" cm="1">
        <f t="array" ref="F28">IFERROR(INDEX('Машины на заводе'!$B$1:$B$1000,LARGE(IF(IF('Машины на заводе'!$H$4:$H$1000="",1,0)+IF('Машины на заводе'!$G$4:$G$1000&lt;&gt;"",1,0)=2,ROW('Машины на заводе'!$A$4:$A$1000)),ROW(B26))),"")</f>
        <v/>
      </c>
      <c r="G28" s="105" cm="1">
        <f t="array" ref="G28">IFERROR(INDEX('Машины на заводе'!$B$1:$B$1000,LARGE(IF(IF('Машины на заводе'!$J$4:$J$1000="",1,0)+IF('Машины на заводе'!$I$4:$I$1000&lt;&gt;"",1,0)=2,ROW('Машины на заводе'!$A$4:$A$1000)),ROW(B26))),"")</f>
        <v>19</v>
      </c>
      <c r="H28" s="105" t="str" cm="1">
        <f t="array" ref="H28">IFERROR(INDEX('Машины на заводе'!$B$1:$B$1000,LARGE(IF(IF('Машины на заводе'!$M$4:$M$1000="",1,0)+IF('Машины на заводе'!$L$4:$L$1000&lt;&gt;"",1,0)=2,ROW('Машины на заводе'!$A$4:$A$1000)),ROW(B26))),"")</f>
        <v/>
      </c>
      <c r="I28" s="105" t="str" cm="1">
        <f t="array" ref="I28">IFERROR(INDEX('Машины на заводе'!$B$1:$B$1000,LARGE(IF(IF('Машины на заводе'!$M$4:$M$1000="",1,0)+IF('Машины на заводе'!$K$4:$K$1000&lt;&gt;"",1,0)=2,ROW('Машины на заводе'!$A$4:$A$1000)),ROW(B26))),"")</f>
        <v/>
      </c>
      <c r="J28" s="105" t="str" cm="1">
        <f t="array" ref="J28">IFERROR(INDEX('Машины на заводе'!$B$1:$B$1000,LARGE(IF(IF('Машины на заводе'!$N$4:$N$1000="",1,0)+IF('Машины на заводе'!$M$4:$M$1000&lt;&gt;"",1,0)=2,ROW('Машины на заводе'!$A$4:$A$1000)),ROW(B26))),"")</f>
        <v/>
      </c>
      <c r="L28" s="176" t="s">
        <v>243</v>
      </c>
      <c r="M28" s="176"/>
      <c r="N28" s="176"/>
      <c r="P28" s="28"/>
      <c r="Q28" s="209">
        <f>IF(C17="","",C17)</f>
        <v>1</v>
      </c>
      <c r="R28" s="210"/>
      <c r="S28" s="28"/>
      <c r="T28" s="30"/>
      <c r="U28" s="30"/>
      <c r="V28" s="30"/>
      <c r="W28" s="28"/>
      <c r="X28" s="28"/>
      <c r="Y28" s="28"/>
      <c r="Z28" s="142"/>
      <c r="AA28" s="142"/>
      <c r="AB28" s="142"/>
      <c r="AC28" s="34"/>
      <c r="AD28" s="28"/>
      <c r="AE28" s="28"/>
      <c r="AF28" s="174" t="s">
        <v>148</v>
      </c>
      <c r="AG28" s="174"/>
      <c r="AH28" s="174"/>
      <c r="AI28" s="34"/>
      <c r="AJ28" s="28"/>
      <c r="AK28" s="28"/>
      <c r="AL28" s="174" t="s">
        <v>147</v>
      </c>
      <c r="AM28" s="174"/>
      <c r="AN28" s="174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  <c r="BR28" s="190">
        <f>IF(C5="","",C5)</f>
        <v>1</v>
      </c>
      <c r="BS28" s="191"/>
      <c r="BT28" s="28"/>
      <c r="BU28" s="28"/>
      <c r="BV28" s="28"/>
      <c r="BW28" s="28"/>
      <c r="BX28" s="28"/>
      <c r="BY28" s="28"/>
      <c r="BZ28" s="28"/>
    </row>
    <row r="29" spans="1:78" ht="24.95" customHeight="1" x14ac:dyDescent="0.2">
      <c r="A29" s="163"/>
      <c r="B29" s="127" t="s">
        <v>194</v>
      </c>
      <c r="C29" s="51">
        <v>1</v>
      </c>
      <c r="D29" s="139" t="str">
        <f>_xlfn.IFNA(VLOOKUP(MID(_xlfn.XLOOKUP(C29,'Машины на заводе'!$B$3:$B$1000,'Машины на заводе'!$F$3:$F$1000,"",,-1),3,1),$CC$1:$CD$5,2,0),"")</f>
        <v>ККС</v>
      </c>
      <c r="F29" s="105" t="str" cm="1">
        <f t="array" ref="F29">IFERROR(INDEX('Машины на заводе'!$B$1:$B$1000,LARGE(IF(IF('Машины на заводе'!$H$4:$H$1000="",1,0)+IF('Машины на заводе'!$G$4:$G$1000&lt;&gt;"",1,0)=2,ROW('Машины на заводе'!$A$4:$A$1000)),ROW(B27))),"")</f>
        <v/>
      </c>
      <c r="G29" s="105" t="str" cm="1">
        <f t="array" ref="G29">IFERROR(INDEX('Машины на заводе'!$B$1:$B$1000,LARGE(IF(IF('Машины на заводе'!$J$4:$J$1000="",1,0)+IF('Машины на заводе'!$I$4:$I$1000&lt;&gt;"",1,0)=2,ROW('Машины на заводе'!$A$4:$A$1000)),ROW(B27))),"")</f>
        <v/>
      </c>
      <c r="H29" s="105" t="str" cm="1">
        <f t="array" ref="H29">IFERROR(INDEX('Машины на заводе'!$B$1:$B$1000,LARGE(IF(IF('Машины на заводе'!$M$4:$M$1000="",1,0)+IF('Машины на заводе'!$L$4:$L$1000&lt;&gt;"",1,0)=2,ROW('Машины на заводе'!$A$4:$A$1000)),ROW(B27))),"")</f>
        <v/>
      </c>
      <c r="I29" s="105" t="str" cm="1">
        <f t="array" ref="I29">IFERROR(INDEX('Машины на заводе'!$B$1:$B$1000,LARGE(IF(IF('Машины на заводе'!$M$4:$M$1000="",1,0)+IF('Машины на заводе'!$K$4:$K$1000&lt;&gt;"",1,0)=2,ROW('Машины на заводе'!$A$4:$A$1000)),ROW(B27))),"")</f>
        <v/>
      </c>
      <c r="J29" s="105" t="str" cm="1">
        <f t="array" ref="J29">IFERROR(INDEX('Машины на заводе'!$B$1:$B$1000,LARGE(IF(IF('Машины на заводе'!$N$4:$N$1000="",1,0)+IF('Машины на заводе'!$M$4:$M$1000&lt;&gt;"",1,0)=2,ROW('Машины на заводе'!$A$4:$A$1000)),ROW(B27))),"")</f>
        <v/>
      </c>
      <c r="L29" s="176"/>
      <c r="M29" s="176"/>
      <c r="N29" s="176"/>
      <c r="P29" s="28"/>
      <c r="Q29" s="211" t="str">
        <f>D17</f>
        <v>ККС</v>
      </c>
      <c r="R29" s="212"/>
      <c r="S29" s="28"/>
      <c r="T29" s="172"/>
      <c r="U29" s="172"/>
      <c r="V29" s="172"/>
      <c r="W29" s="172"/>
      <c r="X29" s="143"/>
      <c r="Y29" s="104"/>
      <c r="Z29" s="142"/>
      <c r="AA29" s="142"/>
      <c r="AB29" s="142"/>
      <c r="AC29" s="34"/>
      <c r="AD29" s="28"/>
      <c r="AE29" s="28"/>
      <c r="AF29" s="174"/>
      <c r="AG29" s="174"/>
      <c r="AH29" s="174"/>
      <c r="AI29" s="34"/>
      <c r="AJ29" s="28"/>
      <c r="AK29" s="28"/>
      <c r="AL29" s="174"/>
      <c r="AM29" s="174"/>
      <c r="AN29" s="174"/>
      <c r="AO29" s="28"/>
      <c r="AP29" s="28"/>
      <c r="AQ29" s="28"/>
      <c r="AR29" s="116"/>
      <c r="AS29" s="28"/>
      <c r="AT29" s="28"/>
      <c r="AU29" s="28"/>
      <c r="AV29" s="116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  <c r="BQ29" s="28"/>
      <c r="BR29" s="192" t="str">
        <f>D5</f>
        <v>ККС</v>
      </c>
      <c r="BS29" s="193"/>
      <c r="BT29" s="28"/>
      <c r="BU29" s="28"/>
      <c r="BV29" s="28"/>
      <c r="BW29" s="28"/>
      <c r="BX29" s="28"/>
      <c r="BY29" s="28"/>
      <c r="BZ29" s="28"/>
    </row>
    <row r="30" spans="1:78" ht="24.95" customHeight="1" x14ac:dyDescent="0.2">
      <c r="A30" s="163"/>
      <c r="B30" s="127" t="s">
        <v>193</v>
      </c>
      <c r="C30" s="51">
        <v>1</v>
      </c>
      <c r="D30" s="139" t="str">
        <f>_xlfn.IFNA(VLOOKUP(MID(_xlfn.XLOOKUP(C30,'Машины на заводе'!$B$3:$B$1000,'Машины на заводе'!$F$3:$F$1000,"",,-1),3,1),$CC$1:$CD$5,2,0),"")</f>
        <v>ККС</v>
      </c>
      <c r="F30" s="105" t="str" cm="1">
        <f t="array" ref="F30">IFERROR(INDEX('Машины на заводе'!$B$1:$B$1000,LARGE(IF(IF('Машины на заводе'!$H$4:$H$1000="",1,0)+IF('Машины на заводе'!$G$4:$G$1000&lt;&gt;"",1,0)=2,ROW('Машины на заводе'!$A$4:$A$1000)),ROW(B28))),"")</f>
        <v/>
      </c>
      <c r="G30" s="105" t="str" cm="1">
        <f t="array" ref="G30">IFERROR(INDEX('Машины на заводе'!$B$1:$B$1000,LARGE(IF(IF('Машины на заводе'!$J$4:$J$1000="",1,0)+IF('Машины на заводе'!$I$4:$I$1000&lt;&gt;"",1,0)=2,ROW('Машины на заводе'!$A$4:$A$1000)),ROW(B28))),"")</f>
        <v/>
      </c>
      <c r="H30" s="105" t="str" cm="1">
        <f t="array" ref="H30">IFERROR(INDEX('Машины на заводе'!$B$1:$B$1000,LARGE(IF(IF('Машины на заводе'!$M$4:$M$1000="",1,0)+IF('Машины на заводе'!$L$4:$L$1000&lt;&gt;"",1,0)=2,ROW('Машины на заводе'!$A$4:$A$1000)),ROW(B28))),"")</f>
        <v/>
      </c>
      <c r="I30" s="105" t="str" cm="1">
        <f t="array" ref="I30">IFERROR(INDEX('Машины на заводе'!$B$1:$B$1000,LARGE(IF(IF('Машины на заводе'!$M$4:$M$1000="",1,0)+IF('Машины на заводе'!$K$4:$K$1000&lt;&gt;"",1,0)=2,ROW('Машины на заводе'!$A$4:$A$1000)),ROW(B28))),"")</f>
        <v/>
      </c>
      <c r="J30" s="105" t="str" cm="1">
        <f t="array" ref="J30">IFERROR(INDEX('Машины на заводе'!$B$1:$B$1000,LARGE(IF(IF('Машины на заводе'!$N$4:$N$1000="",1,0)+IF('Машины на заводе'!$M$4:$M$1000&lt;&gt;"",1,0)=2,ROW('Машины на заводе'!$A$4:$A$1000)),ROW(B28))),"")</f>
        <v/>
      </c>
      <c r="L30" s="175" t="s">
        <v>238</v>
      </c>
      <c r="M30" s="175"/>
      <c r="N30" s="175"/>
      <c r="P30" s="28"/>
      <c r="Q30" s="28"/>
      <c r="R30" s="28"/>
      <c r="S30" s="28"/>
      <c r="T30" s="190">
        <f>IF(C16="","",C16)</f>
        <v>1</v>
      </c>
      <c r="U30" s="191"/>
      <c r="V30" s="41"/>
      <c r="W30" s="41"/>
      <c r="X30" s="41"/>
      <c r="Y30" s="41"/>
      <c r="Z30" s="118">
        <f>IF(C15="","",C15)</f>
        <v>1</v>
      </c>
      <c r="AA30" s="42"/>
      <c r="AB30" s="118">
        <f>IF(C14="","",C14)</f>
        <v>1</v>
      </c>
      <c r="AC30" s="41"/>
      <c r="AD30" s="41"/>
      <c r="AE30" s="41"/>
      <c r="AF30" s="118">
        <f>IF(C13="","",C13)</f>
        <v>1</v>
      </c>
      <c r="AG30" s="42"/>
      <c r="AH30" s="118">
        <f>IF(C12="","",C12)</f>
        <v>1</v>
      </c>
      <c r="AI30" s="41"/>
      <c r="AJ30" s="41"/>
      <c r="AK30" s="41"/>
      <c r="AL30" s="118">
        <v>4</v>
      </c>
      <c r="AM30" s="42"/>
      <c r="AN30" s="118">
        <v>4</v>
      </c>
      <c r="AO30" s="41"/>
      <c r="AP30" s="41"/>
      <c r="AQ30" s="41"/>
      <c r="AR30" s="117">
        <v>4</v>
      </c>
      <c r="AS30" s="41"/>
      <c r="AT30" s="41"/>
      <c r="AU30" s="41"/>
      <c r="AV30" s="118">
        <v>4</v>
      </c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  <c r="BQ30" s="28"/>
      <c r="BR30" s="190">
        <f>IF(C4="","",C4)</f>
        <v>1</v>
      </c>
      <c r="BS30" s="191"/>
      <c r="BT30" s="28"/>
      <c r="BU30" s="190">
        <f>IF(C3="","",C3)</f>
        <v>1</v>
      </c>
      <c r="BV30" s="191"/>
      <c r="BW30" s="28"/>
      <c r="BX30" s="190">
        <f>IF(C2="","",C2)</f>
        <v>1</v>
      </c>
      <c r="BY30" s="191"/>
      <c r="BZ30" s="28"/>
    </row>
    <row r="31" spans="1:78" ht="24.95" customHeight="1" x14ac:dyDescent="0.2">
      <c r="A31" s="163"/>
      <c r="B31" s="127" t="s">
        <v>192</v>
      </c>
      <c r="C31" s="51">
        <v>1</v>
      </c>
      <c r="D31" s="139" t="str">
        <f>_xlfn.IFNA(VLOOKUP(MID(_xlfn.XLOOKUP(C31,'Машины на заводе'!$B$3:$B$1000,'Машины на заводе'!$F$3:$F$1000,"",,-1),3,1),$CC$1:$CD$5,2,0),"")</f>
        <v>ККС</v>
      </c>
      <c r="F31" s="105" t="str" cm="1">
        <f t="array" ref="F31">IFERROR(INDEX('Машины на заводе'!$B$1:$B$1000,LARGE(IF(IF('Машины на заводе'!$H$4:$H$1000="",1,0)+IF('Машины на заводе'!$G$4:$G$1000&lt;&gt;"",1,0)=2,ROW('Машины на заводе'!$A$4:$A$1000)),ROW(B29))),"")</f>
        <v/>
      </c>
      <c r="G31" s="105" t="str" cm="1">
        <f t="array" ref="G31">IFERROR(INDEX('Машины на заводе'!$B$1:$B$1000,LARGE(IF(IF('Машины на заводе'!$J$4:$J$1000="",1,0)+IF('Машины на заводе'!$I$4:$I$1000&lt;&gt;"",1,0)=2,ROW('Машины на заводе'!$A$4:$A$1000)),ROW(B29))),"")</f>
        <v/>
      </c>
      <c r="H31" s="105" t="str" cm="1">
        <f t="array" ref="H31">IFERROR(INDEX('Машины на заводе'!$B$1:$B$1000,LARGE(IF(IF('Машины на заводе'!$M$4:$M$1000="",1,0)+IF('Машины на заводе'!$L$4:$L$1000&lt;&gt;"",1,0)=2,ROW('Машины на заводе'!$A$4:$A$1000)),ROW(B29))),"")</f>
        <v/>
      </c>
      <c r="I31" s="105" t="str" cm="1">
        <f t="array" ref="I31">IFERROR(INDEX('Машины на заводе'!$B$1:$B$1000,LARGE(IF(IF('Машины на заводе'!$M$4:$M$1000="",1,0)+IF('Машины на заводе'!$K$4:$K$1000&lt;&gt;"",1,0)=2,ROW('Машины на заводе'!$A$4:$A$1000)),ROW(B29))),"")</f>
        <v/>
      </c>
      <c r="J31" s="105" t="str" cm="1">
        <f t="array" ref="J31">IFERROR(INDEX('Машины на заводе'!$B$1:$B$1000,LARGE(IF(IF('Машины на заводе'!$N$4:$N$1000="",1,0)+IF('Машины на заводе'!$M$4:$M$1000&lt;&gt;"",1,0)=2,ROW('Машины на заводе'!$A$4:$A$1000)),ROW(B29))),"")</f>
        <v/>
      </c>
      <c r="K31" s="27">
        <v>6</v>
      </c>
      <c r="L31" s="175"/>
      <c r="M31" s="175"/>
      <c r="N31" s="175"/>
      <c r="P31" s="28"/>
      <c r="Q31" s="28"/>
      <c r="R31" s="28"/>
      <c r="S31" s="28"/>
      <c r="T31" s="192" t="str">
        <f>D16</f>
        <v>ККС</v>
      </c>
      <c r="U31" s="193"/>
      <c r="V31" s="41"/>
      <c r="W31" s="41"/>
      <c r="X31" s="41"/>
      <c r="Y31" s="41"/>
      <c r="Z31" s="123" t="str">
        <f>D15</f>
        <v>ККС</v>
      </c>
      <c r="AA31" s="122"/>
      <c r="AB31" s="123" t="str">
        <f>D14</f>
        <v>ККС</v>
      </c>
      <c r="AC31" s="124"/>
      <c r="AD31" s="124"/>
      <c r="AE31" s="124"/>
      <c r="AF31" s="123" t="str">
        <f>D13</f>
        <v>ККС</v>
      </c>
      <c r="AG31" s="122"/>
      <c r="AH31" s="123" t="str">
        <f>D12</f>
        <v>ККС</v>
      </c>
      <c r="AI31" s="124"/>
      <c r="AJ31" s="124"/>
      <c r="AK31" s="124"/>
      <c r="AL31" s="123" t="str">
        <f>D11</f>
        <v>ККС</v>
      </c>
      <c r="AM31" s="122"/>
      <c r="AN31" s="123" t="str">
        <f>D10</f>
        <v>ККС</v>
      </c>
      <c r="AO31" s="124"/>
      <c r="AP31" s="124"/>
      <c r="AQ31" s="124"/>
      <c r="AR31" s="125" t="str">
        <f>D9</f>
        <v>ККС</v>
      </c>
      <c r="AS31" s="124"/>
      <c r="AT31" s="124"/>
      <c r="AU31" s="124"/>
      <c r="AV31" s="123" t="str">
        <f>D8</f>
        <v>ККС</v>
      </c>
      <c r="AW31" s="33"/>
      <c r="AX31" s="33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  <c r="BR31" s="192" t="str">
        <f>D4</f>
        <v>ККС</v>
      </c>
      <c r="BS31" s="193"/>
      <c r="BT31" s="33"/>
      <c r="BU31" s="192" t="str">
        <f>D3</f>
        <v>ККС</v>
      </c>
      <c r="BV31" s="193"/>
      <c r="BW31" s="33"/>
      <c r="BX31" s="192" t="str">
        <f>D2</f>
        <v>ККС</v>
      </c>
      <c r="BY31" s="193"/>
      <c r="BZ31" s="28"/>
    </row>
    <row r="32" spans="1:78" ht="30" customHeight="1" x14ac:dyDescent="0.2">
      <c r="A32" s="163"/>
      <c r="B32" s="127" t="s">
        <v>191</v>
      </c>
      <c r="C32" s="51">
        <v>1</v>
      </c>
      <c r="D32" s="139" t="str">
        <f>_xlfn.IFNA(VLOOKUP(MID(_xlfn.XLOOKUP(C32,'Машины на заводе'!$B$3:$B$1000,'Машины на заводе'!$F$3:$F$1000,"",,-1),3,1),$CC$1:$CD$5,2,0),"")</f>
        <v>ККС</v>
      </c>
      <c r="F32" s="105" t="str" cm="1">
        <f t="array" ref="F32">IFERROR(INDEX('Машины на заводе'!$B$1:$B$1000,LARGE(IF(IF('Машины на заводе'!$H$4:$H$1000="",1,0)+IF('Машины на заводе'!$G$4:$G$1000&lt;&gt;"",1,0)=2,ROW('Машины на заводе'!$A$4:$A$1000)),ROW(B30))),"")</f>
        <v/>
      </c>
      <c r="G32" s="105" t="str" cm="1">
        <f t="array" ref="G32">IFERROR(INDEX('Машины на заводе'!$B$1:$B$1000,LARGE(IF(IF('Машины на заводе'!$J$4:$J$1000="",1,0)+IF('Машины на заводе'!$I$4:$I$1000&lt;&gt;"",1,0)=2,ROW('Машины на заводе'!$A$4:$A$1000)),ROW(B30))),"")</f>
        <v/>
      </c>
      <c r="H32" s="105" t="str" cm="1">
        <f t="array" ref="H32">IFERROR(INDEX('Машины на заводе'!$B$1:$B$1000,LARGE(IF(IF('Машины на заводе'!$M$4:$M$1000="",1,0)+IF('Машины на заводе'!$L$4:$L$1000&lt;&gt;"",1,0)=2,ROW('Машины на заводе'!$A$4:$A$1000)),ROW(B30))),"")</f>
        <v/>
      </c>
      <c r="I32" s="105" t="str" cm="1">
        <f t="array" ref="I32">IFERROR(INDEX('Машины на заводе'!$B$1:$B$1000,LARGE(IF(IF('Машины на заводе'!$M$4:$M$1000="",1,0)+IF('Машины на заводе'!$K$4:$K$1000&lt;&gt;"",1,0)=2,ROW('Машины на заводе'!$A$4:$A$1000)),ROW(B30))),"")</f>
        <v/>
      </c>
      <c r="J32" s="105" t="str" cm="1">
        <f t="array" ref="J32">IFERROR(INDEX('Машины на заводе'!$B$1:$B$1000,LARGE(IF(IF('Машины на заводе'!$N$4:$N$1000="",1,0)+IF('Машины на заводе'!$M$4:$M$1000&lt;&gt;"",1,0)=2,ROW('Машины на заводе'!$A$4:$A$1000)),ROW(B30))),"")</f>
        <v/>
      </c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  <c r="BQ32" s="28"/>
      <c r="BR32" s="28"/>
      <c r="BS32" s="28"/>
      <c r="BT32" s="28"/>
      <c r="BU32" s="28"/>
      <c r="BV32" s="28"/>
      <c r="BW32" s="28"/>
      <c r="BX32" s="28"/>
      <c r="BY32" s="28"/>
      <c r="BZ32" s="28"/>
    </row>
    <row r="33" spans="1:78" ht="30" customHeight="1" x14ac:dyDescent="0.2">
      <c r="A33" s="163"/>
      <c r="B33" s="127" t="s">
        <v>190</v>
      </c>
      <c r="C33" s="51">
        <v>1</v>
      </c>
      <c r="D33" s="139" t="str">
        <f>_xlfn.IFNA(VLOOKUP(MID(_xlfn.XLOOKUP(C33,'Машины на заводе'!$B$3:$B$1000,'Машины на заводе'!$F$3:$F$1000,"",,-1),3,1),$CC$1:$CD$5,2,0),"")</f>
        <v>ККС</v>
      </c>
      <c r="F33" s="105" t="str" cm="1">
        <f t="array" ref="F33">IFERROR(INDEX('Машины на заводе'!$B$1:$B$1000,LARGE(IF(IF('Машины на заводе'!$H$4:$H$1000="",1,0)+IF('Машины на заводе'!$G$4:$G$1000&lt;&gt;"",1,0)=2,ROW('Машины на заводе'!$A$4:$A$1000)),ROW(B31))),"")</f>
        <v/>
      </c>
      <c r="G33" s="105" t="str" cm="1">
        <f t="array" ref="G33">IFERROR(INDEX('Машины на заводе'!$B$1:$B$1000,LARGE(IF(IF('Машины на заводе'!$J$4:$J$1000="",1,0)+IF('Машины на заводе'!$I$4:$I$1000&lt;&gt;"",1,0)=2,ROW('Машины на заводе'!$A$4:$A$1000)),ROW(B31))),"")</f>
        <v/>
      </c>
      <c r="H33" s="105" t="str" cm="1">
        <f t="array" ref="H33">IFERROR(INDEX('Машины на заводе'!$B$1:$B$1000,LARGE(IF(IF('Машины на заводе'!$M$4:$M$1000="",1,0)+IF('Машины на заводе'!$L$4:$L$1000&lt;&gt;"",1,0)=2,ROW('Машины на заводе'!$A$4:$A$1000)),ROW(B31))),"")</f>
        <v/>
      </c>
      <c r="I33" s="105" t="str" cm="1">
        <f t="array" ref="I33">IFERROR(INDEX('Машины на заводе'!$B$1:$B$1000,LARGE(IF(IF('Машины на заводе'!$M$4:$M$1000="",1,0)+IF('Машины на заводе'!$K$4:$K$1000&lt;&gt;"",1,0)=2,ROW('Машины на заводе'!$A$4:$A$1000)),ROW(B31))),"")</f>
        <v/>
      </c>
      <c r="J33" s="105" t="str" cm="1">
        <f t="array" ref="J33">IFERROR(INDEX('Машины на заводе'!$B$1:$B$1000,LARGE(IF(IF('Машины на заводе'!$N$4:$N$1000="",1,0)+IF('Машины на заводе'!$M$4:$M$1000&lt;&gt;"",1,0)=2,ROW('Машины на заводе'!$A$4:$A$1000)),ROW(B31))),"")</f>
        <v/>
      </c>
      <c r="L33" s="176" t="s">
        <v>244</v>
      </c>
      <c r="M33" s="176"/>
      <c r="N33" s="176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  <c r="BR33" s="28"/>
      <c r="BS33" s="28"/>
      <c r="BT33" s="28"/>
      <c r="BU33" s="28"/>
      <c r="BV33" s="28"/>
      <c r="BW33" s="28"/>
      <c r="BX33" s="28"/>
      <c r="BY33" s="28"/>
      <c r="BZ33" s="28"/>
    </row>
    <row r="34" spans="1:78" ht="24.95" customHeight="1" x14ac:dyDescent="0.2">
      <c r="A34" s="163"/>
      <c r="B34" s="127" t="s">
        <v>189</v>
      </c>
      <c r="C34" s="51">
        <v>1</v>
      </c>
      <c r="D34" s="139" t="str">
        <f>_xlfn.IFNA(VLOOKUP(MID(_xlfn.XLOOKUP(C34,'Машины на заводе'!$B$3:$B$1000,'Машины на заводе'!$F$3:$F$1000,"",,-1),3,1),$CC$1:$CD$5,2,0),"")</f>
        <v>ККС</v>
      </c>
      <c r="F34" s="105" t="str" cm="1">
        <f t="array" ref="F34">IFERROR(INDEX('Машины на заводе'!$B$1:$B$1000,LARGE(IF(IF('Машины на заводе'!$H$4:$H$1000="",1,0)+IF('Машины на заводе'!$G$4:$G$1000&lt;&gt;"",1,0)=2,ROW('Машины на заводе'!$A$4:$A$1000)),ROW(B32))),"")</f>
        <v/>
      </c>
      <c r="G34" s="105" t="str" cm="1">
        <f t="array" ref="G34">IFERROR(INDEX('Машины на заводе'!$B$1:$B$1000,LARGE(IF(IF('Машины на заводе'!$J$4:$J$1000="",1,0)+IF('Машины на заводе'!$I$4:$I$1000&lt;&gt;"",1,0)=2,ROW('Машины на заводе'!$A$4:$A$1000)),ROW(B32))),"")</f>
        <v/>
      </c>
      <c r="H34" s="105" t="str" cm="1">
        <f t="array" ref="H34">IFERROR(INDEX('Машины на заводе'!$B$1:$B$1000,LARGE(IF(IF('Машины на заводе'!$M$4:$M$1000="",1,0)+IF('Машины на заводе'!$L$4:$L$1000&lt;&gt;"",1,0)=2,ROW('Машины на заводе'!$A$4:$A$1000)),ROW(B32))),"")</f>
        <v/>
      </c>
      <c r="I34" s="105" t="str" cm="1">
        <f t="array" ref="I34">IFERROR(INDEX('Машины на заводе'!$B$1:$B$1000,LARGE(IF(IF('Машины на заводе'!$M$4:$M$1000="",1,0)+IF('Машины на заводе'!$K$4:$K$1000&lt;&gt;"",1,0)=2,ROW('Машины на заводе'!$A$4:$A$1000)),ROW(B32))),"")</f>
        <v/>
      </c>
      <c r="J34" s="105" t="str" cm="1">
        <f t="array" ref="J34">IFERROR(INDEX('Машины на заводе'!$B$1:$B$1000,LARGE(IF(IF('Машины на заводе'!$N$4:$N$1000="",1,0)+IF('Машины на заводе'!$M$4:$M$1000&lt;&gt;"",1,0)=2,ROW('Машины на заводе'!$A$4:$A$1000)),ROW(B32))),"")</f>
        <v/>
      </c>
      <c r="L34" s="176"/>
      <c r="M34" s="176"/>
      <c r="N34" s="176"/>
    </row>
    <row r="35" spans="1:78" ht="24.95" customHeight="1" x14ac:dyDescent="0.2">
      <c r="A35" s="163"/>
      <c r="B35" s="131" t="s">
        <v>188</v>
      </c>
      <c r="C35" s="51">
        <v>1</v>
      </c>
      <c r="D35" s="144" t="str">
        <f>_xlfn.IFNA(VLOOKUP(MID(_xlfn.XLOOKUP(C35,'Машины на заводе'!$B$3:$B$1000,'Машины на заводе'!$F$3:$F$1000,"",,-1),3,1),$CC$1:$CD$5,2,0),"")</f>
        <v>ККС</v>
      </c>
      <c r="F35" s="105" t="str" cm="1">
        <f t="array" ref="F35">IFERROR(INDEX('Машины на заводе'!$B$1:$B$1000,LARGE(IF(IF('Машины на заводе'!$H$4:$H$1000="",1,0)+IF('Машины на заводе'!$G$4:$G$1000&lt;&gt;"",1,0)=2,ROW('Машины на заводе'!$A$4:$A$1000)),ROW(B33))),"")</f>
        <v/>
      </c>
      <c r="G35" s="105" t="str" cm="1">
        <f t="array" ref="G35">IFERROR(INDEX('Машины на заводе'!$B$1:$B$1000,LARGE(IF(IF('Машины на заводе'!$J$4:$J$1000="",1,0)+IF('Машины на заводе'!$I$4:$I$1000&lt;&gt;"",1,0)=2,ROW('Машины на заводе'!$A$4:$A$1000)),ROW(B33))),"")</f>
        <v/>
      </c>
      <c r="H35" s="105" t="str" cm="1">
        <f t="array" ref="H35">IFERROR(INDEX('Машины на заводе'!$B$1:$B$1000,LARGE(IF(IF('Машины на заводе'!$M$4:$M$1000="",1,0)+IF('Машины на заводе'!$L$4:$L$1000&lt;&gt;"",1,0)=2,ROW('Машины на заводе'!$A$4:$A$1000)),ROW(B33))),"")</f>
        <v/>
      </c>
      <c r="I35" s="105" t="str" cm="1">
        <f t="array" ref="I35">IFERROR(INDEX('Машины на заводе'!$B$1:$B$1000,LARGE(IF(IF('Машины на заводе'!$M$4:$M$1000="",1,0)+IF('Машины на заводе'!$K$4:$K$1000&lt;&gt;"",1,0)=2,ROW('Машины на заводе'!$A$4:$A$1000)),ROW(B33))),"")</f>
        <v/>
      </c>
      <c r="J35" s="105" t="str" cm="1">
        <f t="array" ref="J35">IFERROR(INDEX('Машины на заводе'!$B$1:$B$1000,LARGE(IF(IF('Машины на заводе'!$N$4:$N$1000="",1,0)+IF('Машины на заводе'!$M$4:$M$1000&lt;&gt;"",1,0)=2,ROW('Машины на заводе'!$A$4:$A$1000)),ROW(B33))),"")</f>
        <v/>
      </c>
      <c r="L35" s="175" t="s">
        <v>238</v>
      </c>
      <c r="M35" s="175"/>
      <c r="N35" s="175"/>
    </row>
    <row r="36" spans="1:78" ht="24.95" customHeight="1" x14ac:dyDescent="0.2">
      <c r="A36" s="181" t="s">
        <v>300</v>
      </c>
      <c r="B36" s="128" t="s">
        <v>187</v>
      </c>
      <c r="C36" s="51">
        <v>1</v>
      </c>
      <c r="D36" s="139" t="str">
        <f>_xlfn.IFNA(VLOOKUP(MID(_xlfn.XLOOKUP(C36,'Машины на заводе'!$B$3:$B$1000,'Машины на заводе'!$F$3:$F$1000,"",,-1),3,1),$CC$1:$CD$5,2,0),"")</f>
        <v>ККС</v>
      </c>
      <c r="F36" s="105" t="str" cm="1">
        <f t="array" ref="F36">IFERROR(INDEX('Машины на заводе'!$B$1:$B$1000,LARGE(IF(IF('Машины на заводе'!$H$4:$H$1000="",1,0)+IF('Машины на заводе'!$G$4:$G$1000&lt;&gt;"",1,0)=2,ROW('Машины на заводе'!$A$4:$A$1000)),ROW(B34))),"")</f>
        <v/>
      </c>
      <c r="G36" s="105" t="str" cm="1">
        <f t="array" ref="G36">IFERROR(INDEX('Машины на заводе'!$B$1:$B$1000,LARGE(IF(IF('Машины на заводе'!$J$4:$J$1000="",1,0)+IF('Машины на заводе'!$I$4:$I$1000&lt;&gt;"",1,0)=2,ROW('Машины на заводе'!$A$4:$A$1000)),ROW(B34))),"")</f>
        <v/>
      </c>
      <c r="H36" s="105" t="str" cm="1">
        <f t="array" ref="H36">IFERROR(INDEX('Машины на заводе'!$B$1:$B$1000,LARGE(IF(IF('Машины на заводе'!$M$4:$M$1000="",1,0)+IF('Машины на заводе'!$L$4:$L$1000&lt;&gt;"",1,0)=2,ROW('Машины на заводе'!$A$4:$A$1000)),ROW(B34))),"")</f>
        <v/>
      </c>
      <c r="I36" s="105" t="str" cm="1">
        <f t="array" ref="I36">IFERROR(INDEX('Машины на заводе'!$B$1:$B$1000,LARGE(IF(IF('Машины на заводе'!$M$4:$M$1000="",1,0)+IF('Машины на заводе'!$K$4:$K$1000&lt;&gt;"",1,0)=2,ROW('Машины на заводе'!$A$4:$A$1000)),ROW(B34))),"")</f>
        <v/>
      </c>
      <c r="J36" s="105" t="str" cm="1">
        <f t="array" ref="J36">IFERROR(INDEX('Машины на заводе'!$B$1:$B$1000,LARGE(IF(IF('Машины на заводе'!$N$4:$N$1000="",1,0)+IF('Машины на заводе'!$M$4:$M$1000&lt;&gt;"",1,0)=2,ROW('Машины на заводе'!$A$4:$A$1000)),ROW(B34))),"")</f>
        <v/>
      </c>
      <c r="K36" s="27">
        <v>7</v>
      </c>
      <c r="L36" s="175"/>
      <c r="M36" s="175"/>
      <c r="N36" s="175"/>
    </row>
    <row r="37" spans="1:78" ht="24.95" customHeight="1" x14ac:dyDescent="0.2">
      <c r="A37" s="163"/>
      <c r="B37" s="128" t="s">
        <v>186</v>
      </c>
      <c r="C37" s="51">
        <v>1</v>
      </c>
      <c r="D37" s="139" t="str">
        <f>_xlfn.IFNA(VLOOKUP(MID(_xlfn.XLOOKUP(C37,'Машины на заводе'!$B$3:$B$1000,'Машины на заводе'!$F$3:$F$1000,"",,-1),3,1),$CC$1:$CD$5,2,0),"")</f>
        <v>ККС</v>
      </c>
      <c r="F37" s="105" t="str" cm="1">
        <f t="array" ref="F37">IFERROR(INDEX('Машины на заводе'!$B$1:$B$1000,LARGE(IF(IF('Машины на заводе'!$H$4:$H$1000="",1,0)+IF('Машины на заводе'!$G$4:$G$1000&lt;&gt;"",1,0)=2,ROW('Машины на заводе'!$A$4:$A$1000)),ROW(B35))),"")</f>
        <v/>
      </c>
      <c r="G37" s="105" t="str" cm="1">
        <f t="array" ref="G37">IFERROR(INDEX('Машины на заводе'!$B$1:$B$1000,LARGE(IF(IF('Машины на заводе'!$J$4:$J$1000="",1,0)+IF('Машины на заводе'!$I$4:$I$1000&lt;&gt;"",1,0)=2,ROW('Машины на заводе'!$A$4:$A$1000)),ROW(B35))),"")</f>
        <v/>
      </c>
      <c r="H37" s="105" t="str" cm="1">
        <f t="array" ref="H37">IFERROR(INDEX('Машины на заводе'!$B$1:$B$1000,LARGE(IF(IF('Машины на заводе'!$M$4:$M$1000="",1,0)+IF('Машины на заводе'!$L$4:$L$1000&lt;&gt;"",1,0)=2,ROW('Машины на заводе'!$A$4:$A$1000)),ROW(B35))),"")</f>
        <v/>
      </c>
      <c r="I37" s="105" t="str" cm="1">
        <f t="array" ref="I37">IFERROR(INDEX('Машины на заводе'!$B$1:$B$1000,LARGE(IF(IF('Машины на заводе'!$M$4:$M$1000="",1,0)+IF('Машины на заводе'!$K$4:$K$1000&lt;&gt;"",1,0)=2,ROW('Машины на заводе'!$A$4:$A$1000)),ROW(B35))),"")</f>
        <v/>
      </c>
      <c r="J37" s="105" t="str" cm="1">
        <f t="array" ref="J37">IFERROR(INDEX('Машины на заводе'!$B$1:$B$1000,LARGE(IF(IF('Машины на заводе'!$N$4:$N$1000="",1,0)+IF('Машины на заводе'!$M$4:$M$1000&lt;&gt;"",1,0)=2,ROW('Машины на заводе'!$A$4:$A$1000)),ROW(B35))),"")</f>
        <v/>
      </c>
    </row>
    <row r="38" spans="1:78" ht="24.95" customHeight="1" x14ac:dyDescent="0.2">
      <c r="A38" s="163"/>
      <c r="B38" s="128" t="s">
        <v>185</v>
      </c>
      <c r="C38" s="51">
        <v>1</v>
      </c>
      <c r="D38" s="139" t="str">
        <f>_xlfn.IFNA(VLOOKUP(MID(_xlfn.XLOOKUP(C38,'Машины на заводе'!$B$3:$B$1000,'Машины на заводе'!$F$3:$F$1000,"",,-1),3,1),$CC$1:$CD$5,2,0),"")</f>
        <v>ККС</v>
      </c>
      <c r="L38" s="176" t="s">
        <v>245</v>
      </c>
      <c r="M38" s="176"/>
      <c r="N38" s="176"/>
    </row>
    <row r="39" spans="1:78" ht="24.95" customHeight="1" x14ac:dyDescent="0.2">
      <c r="A39" s="163"/>
      <c r="B39" s="128" t="s">
        <v>184</v>
      </c>
      <c r="C39" s="51">
        <v>1</v>
      </c>
      <c r="D39" s="139" t="str">
        <f>_xlfn.IFNA(VLOOKUP(MID(_xlfn.XLOOKUP(C39,'Машины на заводе'!$B$3:$B$1000,'Машины на заводе'!$F$3:$F$1000,"",,-1),3,1),$CC$1:$CD$5,2,0),"")</f>
        <v>ККС</v>
      </c>
      <c r="L39" s="176"/>
      <c r="M39" s="176"/>
      <c r="N39" s="176"/>
    </row>
    <row r="40" spans="1:78" ht="24.95" customHeight="1" x14ac:dyDescent="0.2">
      <c r="A40" s="163"/>
      <c r="B40" s="128" t="s">
        <v>183</v>
      </c>
      <c r="C40" s="51">
        <v>1</v>
      </c>
      <c r="D40" s="139" t="str">
        <f>_xlfn.IFNA(VLOOKUP(MID(_xlfn.XLOOKUP(C40,'Машины на заводе'!$B$3:$B$1000,'Машины на заводе'!$F$3:$F$1000,"",,-1),3,1),$CC$1:$CD$5,2,0),"")</f>
        <v>ККС</v>
      </c>
      <c r="F40" s="177" t="s">
        <v>296</v>
      </c>
      <c r="G40" s="177"/>
      <c r="H40" s="177"/>
      <c r="I40" s="177"/>
      <c r="J40" s="177"/>
      <c r="L40" s="175" t="s">
        <v>238</v>
      </c>
      <c r="M40" s="175"/>
      <c r="N40" s="175"/>
    </row>
    <row r="41" spans="1:78" ht="24.95" customHeight="1" x14ac:dyDescent="0.2">
      <c r="A41" s="163"/>
      <c r="B41" s="128" t="s">
        <v>182</v>
      </c>
      <c r="C41" s="51">
        <v>1</v>
      </c>
      <c r="D41" s="139" t="str">
        <f>_xlfn.IFNA(VLOOKUP(MID(_xlfn.XLOOKUP(C41,'Машины на заводе'!$B$3:$B$1000,'Машины на заводе'!$F$3:$F$1000,"",,-1),3,1),$CC$1:$CD$5,2,0),"")</f>
        <v>ККС</v>
      </c>
      <c r="F41" s="106" t="s">
        <v>146</v>
      </c>
      <c r="G41" s="106" t="s">
        <v>289</v>
      </c>
      <c r="H41" s="106" t="s">
        <v>292</v>
      </c>
      <c r="I41" s="106" t="s">
        <v>290</v>
      </c>
      <c r="J41" s="106" t="s">
        <v>291</v>
      </c>
      <c r="K41" s="27">
        <v>8</v>
      </c>
      <c r="L41" s="175"/>
      <c r="M41" s="175"/>
      <c r="N41" s="175"/>
    </row>
    <row r="42" spans="1:78" ht="24.95" customHeight="1" x14ac:dyDescent="0.2">
      <c r="A42" s="163"/>
      <c r="B42" s="128" t="s">
        <v>179</v>
      </c>
      <c r="C42" s="51">
        <v>1</v>
      </c>
      <c r="D42" s="139" t="str">
        <f>_xlfn.IFNA(VLOOKUP(MID(_xlfn.XLOOKUP(C42,'Машины на заводе'!$B$3:$B$1000,'Машины на заводе'!$F$3:$F$1000,"",,-1),3,1),$CC$1:$CD$5,2,0),"")</f>
        <v>ККС</v>
      </c>
      <c r="F42" s="105" cm="1">
        <f t="array" aca="1" ref="F42" ca="1">IFERROR(INDEX($F$1:$F$37,SMALL(IF(COUNTIFS($C$2:$C$7,INDIRECT(ADDRESS(3,6)&amp;":"&amp;ADDRESS(COUNTIF($F$3:$F$37,"&gt;0")+2,6)))=0,ROW(INDIRECT(ADDRESS(3,6)&amp;":"&amp;ADDRESS(COUNTIF($F$3:$F$37,"&gt;0")+2,6))),""),ROW(A1))),"")</f>
        <v>50</v>
      </c>
      <c r="G42" s="105" cm="1">
        <f t="array" aca="1" ref="G42" ca="1">IFERROR(INDEX($G$1:$G$37,SMALL(IF(COUNTIFS($C$8:$C$35,INDIRECT(ADDRESS(3,7)&amp;":"&amp;ADDRESS(COUNTIF($G$3:$G$37,"&gt;0")+2,7)))=0,ROW(INDIRECT(ADDRESS(3,7)&amp;":"&amp;ADDRESS(COUNTIF($G$3:$G$37,"&gt;0")+2,7))),""),ROW(B1))),"")</f>
        <v>44</v>
      </c>
      <c r="H42" s="105" cm="1">
        <f t="array" aca="1" ref="H42" ca="1">IFERROR(INDEX($H$1:$H$37,SMALL(IF(COUNTIFS($C$36:$C$46,INDIRECT(ADDRESS(3,8)&amp;":"&amp;ADDRESS(COUNTIF($H$3:$H$37,"&gt;0")+2,8)))=0,ROW(INDIRECT(ADDRESS(3,8)&amp;":"&amp;ADDRESS(COUNTIF($H$3:$H$37,"&gt;0")+2,8))),""),ROW(A1))),"")</f>
        <v>18</v>
      </c>
      <c r="I42" s="105" cm="1">
        <f t="array" aca="1" ref="I42" ca="1">IFERROR(INDEX($I$1:$I$37,SMALL(IF(COUNTIFS($C$47:$C$66,INDIRECT(ADDRESS(3,9)&amp;":"&amp;ADDRESS(COUNTIF($I$3:$I$37,"&gt;0")+2,9)))=0,ROW(INDIRECT(ADDRESS(3,9)&amp;":"&amp;ADDRESS(COUNTIF($I$3:$I$37,"&gt;0")+2,9))),""),ROW(A1))),"")</f>
        <v>26</v>
      </c>
      <c r="J42" s="105" cm="1">
        <f t="array" aca="1" ref="J42" ca="1">IFERROR(INDEX($J$1:$J$37,SMALL(IF(COUNTIFS($C$69:$C$108,INDIRECT(ADDRESS(3,10)&amp;":"&amp;ADDRESS(COUNTIF($J$3:$J$37,"&gt;0")+2,10)))=0,ROW(INDIRECT(ADDRESS(3,10)&amp;":"&amp;ADDRESS(COUNTIF($J$3:$J$37,"&gt;0")+2,10))),""),ROW(A1))),"")</f>
        <v>7</v>
      </c>
      <c r="W42" s="47"/>
      <c r="X42" s="47"/>
      <c r="Y42" s="27"/>
      <c r="Z42" s="27"/>
      <c r="AA42" s="27"/>
    </row>
    <row r="43" spans="1:78" ht="24.95" customHeight="1" x14ac:dyDescent="0.2">
      <c r="A43" s="163"/>
      <c r="B43" s="128" t="s">
        <v>178</v>
      </c>
      <c r="C43" s="51">
        <v>1</v>
      </c>
      <c r="D43" s="139" t="str">
        <f>_xlfn.IFNA(VLOOKUP(MID(_xlfn.XLOOKUP(C43,'Машины на заводе'!$B$3:$B$1000,'Машины на заводе'!$F$3:$F$1000,"",,-1),3,1),$CC$1:$CD$5,2,0),"")</f>
        <v>ККС</v>
      </c>
      <c r="F43" s="105" cm="1">
        <f t="array" aca="1" ref="F43" ca="1">IFERROR(INDEX($F$1:$F$37,SMALL(IF(COUNTIFS($C$2:$C$7,INDIRECT(ADDRESS(3,6)&amp;":"&amp;ADDRESS(COUNTIF($F$3:$F$37,"&gt;0")+2,6)))=0,ROW(INDIRECT(ADDRESS(3,6)&amp;":"&amp;ADDRESS(COUNTIF($F$3:$F$37,"&gt;0")+2,6))),""),ROW(A2))),"")</f>
        <v>49</v>
      </c>
      <c r="G43" s="105" cm="1">
        <f t="array" aca="1" ref="G43" ca="1">IFERROR(INDEX($G$1:$G$37,SMALL(IF(COUNTIFS($C$8:$C$35,INDIRECT(ADDRESS(3,7)&amp;":"&amp;ADDRESS(COUNTIF($G$3:$G$37,"&gt;0")+2,7)))=0,ROW(INDIRECT(ADDRESS(3,7)&amp;":"&amp;ADDRESS(COUNTIF($G$3:$G$37,"&gt;0")+2,7))),""),ROW(B2))),"")</f>
        <v>43</v>
      </c>
      <c r="H43" s="105" cm="1">
        <f t="array" aca="1" ref="H43" ca="1">IFERROR(INDEX($H$1:$H$37,SMALL(IF(COUNTIFS($C$36:$C$46,INDIRECT(ADDRESS(3,8)&amp;":"&amp;ADDRESS(COUNTIF($H$3:$H$37,"&gt;0")+2,8)))=0,ROW(INDIRECT(ADDRESS(3,8)&amp;":"&amp;ADDRESS(COUNTIF($H$3:$H$37,"&gt;0")+2,8))),""),ROW(A2))),"")</f>
        <v>17</v>
      </c>
      <c r="I43" s="105" cm="1">
        <f t="array" aca="1" ref="I43" ca="1">IFERROR(INDEX($I$1:$I$37,SMALL(IF(COUNTIFS($C$47:$C$66,INDIRECT(ADDRESS(3,9)&amp;":"&amp;ADDRESS(COUNTIF($I$3:$I$37,"&gt;0")+2,9)))=0,ROW(INDIRECT(ADDRESS(3,9)&amp;":"&amp;ADDRESS(COUNTIF($I$3:$I$37,"&gt;0")+2,9))),""),ROW(A2))),"")</f>
        <v>25</v>
      </c>
      <c r="J43" s="105" cm="1">
        <f t="array" aca="1" ref="J43" ca="1">IFERROR(INDEX($J$1:$J$37,SMALL(IF(COUNTIFS($C$69:$C$108,INDIRECT(ADDRESS(3,10)&amp;":"&amp;ADDRESS(COUNTIF($J$3:$J$37,"&gt;0")+2,10)))=0,ROW(INDIRECT(ADDRESS(3,10)&amp;":"&amp;ADDRESS(COUNTIF($J$3:$J$37,"&gt;0")+2,10))),""),ROW(A2))),"")</f>
        <v>6</v>
      </c>
    </row>
    <row r="44" spans="1:78" ht="24.95" customHeight="1" x14ac:dyDescent="0.2">
      <c r="A44" s="163"/>
      <c r="B44" s="130" t="s">
        <v>180</v>
      </c>
      <c r="C44" s="51">
        <v>1</v>
      </c>
      <c r="D44" s="139" t="str">
        <f>_xlfn.IFNA(VLOOKUP(MID(_xlfn.XLOOKUP(C44,'Машины на заводе'!$B$3:$B$1000,'Машины на заводе'!$F$3:$F$1000,"",,-1),3,1),$CC$1:$CD$5,2,0),"")</f>
        <v>ККС</v>
      </c>
      <c r="F44" s="105" cm="1">
        <f t="array" aca="1" ref="F44" ca="1">IFERROR(INDEX($F$1:$F$37,SMALL(IF(COUNTIFS($C$2:$C$7,INDIRECT(ADDRESS(3,6)&amp;":"&amp;ADDRESS(COUNTIF($F$3:$F$37,"&gt;0")+2,6)))=0,ROW(INDIRECT(ADDRESS(3,6)&amp;":"&amp;ADDRESS(COUNTIF($F$3:$F$37,"&gt;0")+2,6))),""),ROW(A3))),"")</f>
        <v>48</v>
      </c>
      <c r="G44" s="105" cm="1">
        <f t="array" aca="1" ref="G44" ca="1">IFERROR(INDEX($G$1:$G$37,SMALL(IF(COUNTIFS($C$8:$C$35,INDIRECT(ADDRESS(3,7)&amp;":"&amp;ADDRESS(COUNTIF($G$3:$G$37,"&gt;0")+2,7)))=0,ROW(INDIRECT(ADDRESS(3,7)&amp;":"&amp;ADDRESS(COUNTIF($G$3:$G$37,"&gt;0")+2,7))),""),ROW(B3))),"")</f>
        <v>42</v>
      </c>
      <c r="H44" s="105" cm="1">
        <f t="array" aca="1" ref="H44" ca="1">IFERROR(INDEX($H$1:$H$37,SMALL(IF(COUNTIFS($C$36:$C$46,INDIRECT(ADDRESS(3,8)&amp;":"&amp;ADDRESS(COUNTIF($H$3:$H$37,"&gt;0")+2,8)))=0,ROW(INDIRECT(ADDRESS(3,8)&amp;":"&amp;ADDRESS(COUNTIF($H$3:$H$37,"&gt;0")+2,8))),""),ROW(A3))),"")</f>
        <v>16</v>
      </c>
      <c r="I44" s="105" cm="1">
        <f t="array" aca="1" ref="I44" ca="1">IFERROR(INDEX($I$1:$I$37,SMALL(IF(COUNTIFS($C$47:$C$66,INDIRECT(ADDRESS(3,9)&amp;":"&amp;ADDRESS(COUNTIF($I$3:$I$37,"&gt;0")+2,9)))=0,ROW(INDIRECT(ADDRESS(3,9)&amp;":"&amp;ADDRESS(COUNTIF($I$3:$I$37,"&gt;0")+2,9))),""),ROW(A3))),"")</f>
        <v>24</v>
      </c>
      <c r="J44" s="105" cm="1">
        <f t="array" aca="1" ref="J44" ca="1">IFERROR(INDEX($J$1:$J$37,SMALL(IF(COUNTIFS($C$69:$C$108,INDIRECT(ADDRESS(3,10)&amp;":"&amp;ADDRESS(COUNTIF($J$3:$J$37,"&gt;0")+2,10)))=0,ROW(INDIRECT(ADDRESS(3,10)&amp;":"&amp;ADDRESS(COUNTIF($J$3:$J$37,"&gt;0")+2,10))),""),ROW(A3))),"")</f>
        <v>5</v>
      </c>
    </row>
    <row r="45" spans="1:78" ht="24.95" customHeight="1" x14ac:dyDescent="0.2">
      <c r="A45" s="163"/>
      <c r="B45" s="130" t="s">
        <v>181</v>
      </c>
      <c r="C45" s="51">
        <v>1</v>
      </c>
      <c r="D45" s="139" t="str">
        <f>_xlfn.IFNA(VLOOKUP(MID(_xlfn.XLOOKUP(C45,'Машины на заводе'!$B$3:$B$1000,'Машины на заводе'!$F$3:$F$1000,"",,-1),3,1),$CC$1:$CD$5,2,0),"")</f>
        <v>ККС</v>
      </c>
      <c r="F45" s="105" cm="1">
        <f t="array" aca="1" ref="F45" ca="1">IFERROR(INDEX($F$1:$F$37,SMALL(IF(COUNTIFS($C$2:$C$7,INDIRECT(ADDRESS(3,6)&amp;":"&amp;ADDRESS(COUNTIF($F$3:$F$37,"&gt;0")+2,6)))=0,ROW(INDIRECT(ADDRESS(3,6)&amp;":"&amp;ADDRESS(COUNTIF($F$3:$F$37,"&gt;0")+2,6))),""),ROW(A4))),"")</f>
        <v>47</v>
      </c>
      <c r="G45" s="105" cm="1">
        <f t="array" aca="1" ref="G45" ca="1">IFERROR(INDEX($G$1:$G$37,SMALL(IF(COUNTIFS($C$8:$C$35,INDIRECT(ADDRESS(3,7)&amp;":"&amp;ADDRESS(COUNTIF($G$3:$G$37,"&gt;0")+2,7)))=0,ROW(INDIRECT(ADDRESS(3,7)&amp;":"&amp;ADDRESS(COUNTIF($G$3:$G$37,"&gt;0")+2,7))),""),ROW(B4))),"")</f>
        <v>41</v>
      </c>
      <c r="H45" s="105" cm="1">
        <f t="array" aca="1" ref="H45" ca="1">IFERROR(INDEX($H$1:$H$37,SMALL(IF(COUNTIFS($C$36:$C$46,INDIRECT(ADDRESS(3,8)&amp;":"&amp;ADDRESS(COUNTIF($H$3:$H$37,"&gt;0")+2,8)))=0,ROW(INDIRECT(ADDRESS(3,8)&amp;":"&amp;ADDRESS(COUNTIF($H$3:$H$37,"&gt;0")+2,8))),""),ROW(A4))),"")</f>
        <v>15</v>
      </c>
      <c r="I45" s="105" cm="1">
        <f t="array" aca="1" ref="I45" ca="1">IFERROR(INDEX($I$1:$I$37,SMALL(IF(COUNTIFS($C$47:$C$66,INDIRECT(ADDRESS(3,9)&amp;":"&amp;ADDRESS(COUNTIF($I$3:$I$37,"&gt;0")+2,9)))=0,ROW(INDIRECT(ADDRESS(3,9)&amp;":"&amp;ADDRESS(COUNTIF($I$3:$I$37,"&gt;0")+2,9))),""),ROW(A4))),"")</f>
        <v>23</v>
      </c>
      <c r="J45" s="105" cm="1">
        <f t="array" aca="1" ref="J45" ca="1">IFERROR(INDEX($J$1:$J$37,SMALL(IF(COUNTIFS($C$69:$C$108,INDIRECT(ADDRESS(3,10)&amp;":"&amp;ADDRESS(COUNTIF($J$3:$J$37,"&gt;0")+2,10)))=0,ROW(INDIRECT(ADDRESS(3,10)&amp;":"&amp;ADDRESS(COUNTIF($J$3:$J$37,"&gt;0")+2,10))),""),ROW(A4))),"")</f>
        <v>4</v>
      </c>
    </row>
    <row r="46" spans="1:78" ht="24.95" customHeight="1" thickBot="1" x14ac:dyDescent="0.25">
      <c r="A46" s="164"/>
      <c r="B46" s="133" t="s">
        <v>269</v>
      </c>
      <c r="C46" s="51">
        <v>1</v>
      </c>
      <c r="D46" s="145" t="str">
        <f>_xlfn.IFNA(VLOOKUP(MID(_xlfn.XLOOKUP(C46,'Машины на заводе'!$B$3:$B$1000,'Машины на заводе'!$F$3:$F$1000,"",,-1),3,1),$CC$1:$CD$5,2,0),"")</f>
        <v>ККС</v>
      </c>
      <c r="F46" s="105" cm="1">
        <f t="array" aca="1" ref="F46" ca="1">IFERROR(INDEX($F$1:$F$37,SMALL(IF(COUNTIFS($C$2:$C$7,INDIRECT(ADDRESS(3,6)&amp;":"&amp;ADDRESS(COUNTIF($F$3:$F$37,"&gt;0")+2,6)))=0,ROW(INDIRECT(ADDRESS(3,6)&amp;":"&amp;ADDRESS(COUNTIF($F$3:$F$37,"&gt;0")+2,6))),""),ROW(A5))),"")</f>
        <v>46</v>
      </c>
      <c r="G46" s="105" cm="1">
        <f t="array" aca="1" ref="G46" ca="1">IFERROR(INDEX($G$1:$G$37,SMALL(IF(COUNTIFS($C$8:$C$35,INDIRECT(ADDRESS(3,7)&amp;":"&amp;ADDRESS(COUNTIF($G$3:$G$37,"&gt;0")+2,7)))=0,ROW(INDIRECT(ADDRESS(3,7)&amp;":"&amp;ADDRESS(COUNTIF($G$3:$G$37,"&gt;0")+2,7))),""),ROW(B5))),"")</f>
        <v>40</v>
      </c>
      <c r="H46" s="105" cm="1">
        <f t="array" aca="1" ref="H46" ca="1">IFERROR(INDEX($H$1:$H$37,SMALL(IF(COUNTIFS($C$36:$C$46,INDIRECT(ADDRESS(3,8)&amp;":"&amp;ADDRESS(COUNTIF($H$3:$H$37,"&gt;0")+2,8)))=0,ROW(INDIRECT(ADDRESS(3,8)&amp;":"&amp;ADDRESS(COUNTIF($H$3:$H$37,"&gt;0")+2,8))),""),ROW(A5))),"")</f>
        <v>14</v>
      </c>
      <c r="I46" s="105" cm="1">
        <f t="array" aca="1" ref="I46" ca="1">IFERROR(INDEX($I$1:$I$37,SMALL(IF(COUNTIFS($C$47:$C$66,INDIRECT(ADDRESS(3,9)&amp;":"&amp;ADDRESS(COUNTIF($I$3:$I$37,"&gt;0")+2,9)))=0,ROW(INDIRECT(ADDRESS(3,9)&amp;":"&amp;ADDRESS(COUNTIF($I$3:$I$37,"&gt;0")+2,9))),""),ROW(A5))),"")</f>
        <v>22</v>
      </c>
      <c r="J46" s="105" cm="1">
        <f t="array" aca="1" ref="J46" ca="1">IFERROR(INDEX($J$1:$J$37,SMALL(IF(COUNTIFS($C$69:$C$108,INDIRECT(ADDRESS(3,10)&amp;":"&amp;ADDRESS(COUNTIF($J$3:$J$37,"&gt;0")+2,10)))=0,ROW(INDIRECT(ADDRESS(3,10)&amp;":"&amp;ADDRESS(COUNTIF($J$3:$J$37,"&gt;0")+2,10))),""),ROW(A5))),"")</f>
        <v>3</v>
      </c>
    </row>
    <row r="47" spans="1:78" ht="24.95" customHeight="1" x14ac:dyDescent="0.2">
      <c r="A47" s="163" t="s">
        <v>301</v>
      </c>
      <c r="B47" s="132" t="s">
        <v>177</v>
      </c>
      <c r="C47" s="51">
        <v>1</v>
      </c>
      <c r="D47" s="146" t="str">
        <f>_xlfn.IFNA(VLOOKUP(MID(_xlfn.XLOOKUP(C47,'Машины на заводе'!$B$3:$B$1000,'Машины на заводе'!$F$3:$F$1000,"",,-1),5,1),$CC$8:$CD$11,2,0),"")</f>
        <v>Самосвал</v>
      </c>
      <c r="F47" s="105" cm="1">
        <f t="array" aca="1" ref="F47" ca="1">IFERROR(INDEX($F$1:$F$37,SMALL(IF(COUNTIFS($C$2:$C$7,INDIRECT(ADDRESS(3,6)&amp;":"&amp;ADDRESS(COUNTIF($F$3:$F$37,"&gt;0")+2,6)))=0,ROW(INDIRECT(ADDRESS(3,6)&amp;":"&amp;ADDRESS(COUNTIF($F$3:$F$37,"&gt;0")+2,6))),""),ROW(A6))),"")</f>
        <v>45</v>
      </c>
      <c r="G47" s="105" cm="1">
        <f t="array" aca="1" ref="G47" ca="1">IFERROR(INDEX($G$1:$G$37,SMALL(IF(COUNTIFS($C$8:$C$35,INDIRECT(ADDRESS(3,7)&amp;":"&amp;ADDRESS(COUNTIF($G$3:$G$37,"&gt;0")+2,7)))=0,ROW(INDIRECT(ADDRESS(3,7)&amp;":"&amp;ADDRESS(COUNTIF($G$3:$G$37,"&gt;0")+2,7))),""),ROW(B6))),"")</f>
        <v>39</v>
      </c>
      <c r="H47" s="105" cm="1">
        <f t="array" aca="1" ref="H47" ca="1">IFERROR(INDEX($H$1:$H$37,SMALL(IF(COUNTIFS($C$36:$C$46,INDIRECT(ADDRESS(3,8)&amp;":"&amp;ADDRESS(COUNTIF($H$3:$H$37,"&gt;0")+2,8)))=0,ROW(INDIRECT(ADDRESS(3,8)&amp;":"&amp;ADDRESS(COUNTIF($H$3:$H$37,"&gt;0")+2,8))),""),ROW(A6))),"")</f>
        <v>13</v>
      </c>
      <c r="I47" s="105" cm="1">
        <f t="array" aca="1" ref="I47" ca="1">IFERROR(INDEX($I$1:$I$37,SMALL(IF(COUNTIFS($C$47:$C$66,INDIRECT(ADDRESS(3,9)&amp;":"&amp;ADDRESS(COUNTIF($I$3:$I$37,"&gt;0")+2,9)))=0,ROW(INDIRECT(ADDRESS(3,9)&amp;":"&amp;ADDRESS(COUNTIF($I$3:$I$37,"&gt;0")+2,9))),""),ROW(A6))),"")</f>
        <v>21</v>
      </c>
      <c r="J47" s="105" cm="1">
        <f t="array" aca="1" ref="J47" ca="1">IFERROR(INDEX($J$1:$J$37,SMALL(IF(COUNTIFS($C$69:$C$108,INDIRECT(ADDRESS(3,10)&amp;":"&amp;ADDRESS(COUNTIF($J$3:$J$37,"&gt;0")+2,10)))=0,ROW(INDIRECT(ADDRESS(3,10)&amp;":"&amp;ADDRESS(COUNTIF($J$3:$J$37,"&gt;0")+2,10))),""),ROW(A6))),"")</f>
        <v>2</v>
      </c>
    </row>
    <row r="48" spans="1:78" ht="24.95" customHeight="1" x14ac:dyDescent="0.2">
      <c r="A48" s="163"/>
      <c r="B48" s="128" t="s">
        <v>176</v>
      </c>
      <c r="C48" s="51">
        <v>1</v>
      </c>
      <c r="D48" s="139" t="str">
        <f>_xlfn.IFNA(VLOOKUP(MID(_xlfn.XLOOKUP(C48,'Машины на заводе'!$B$3:$B$1000,'Машины на заводе'!$F$3:$F$1000,"",,-1),5,1),$CC$8:$CD$11,2,0),"")</f>
        <v>Самосвал</v>
      </c>
      <c r="F48" s="105" t="str" cm="1">
        <f t="array" aca="1" ref="F48" ca="1">IFERROR(INDEX($F$1:$F$37,SMALL(IF(COUNTIFS($C$2:$C$7,INDIRECT(ADDRESS(3,6)&amp;":"&amp;ADDRESS(COUNTIF($F$3:$F$37,"&gt;0")+2,6)))=0,ROW(INDIRECT(ADDRESS(3,6)&amp;":"&amp;ADDRESS(COUNTIF($F$3:$F$37,"&gt;0")+2,6))),""),ROW(A7))),"")</f>
        <v/>
      </c>
      <c r="G48" s="105" cm="1">
        <f t="array" aca="1" ref="G48" ca="1">IFERROR(INDEX($G$1:$G$37,SMALL(IF(COUNTIFS($C$8:$C$35,INDIRECT(ADDRESS(3,7)&amp;":"&amp;ADDRESS(COUNTIF($G$3:$G$37,"&gt;0")+2,7)))=0,ROW(INDIRECT(ADDRESS(3,7)&amp;":"&amp;ADDRESS(COUNTIF($G$3:$G$37,"&gt;0")+2,7))),""),ROW(B7))),"")</f>
        <v>38</v>
      </c>
      <c r="H48" s="105" cm="1">
        <f t="array" aca="1" ref="H48" ca="1">IFERROR(INDEX($H$1:$H$37,SMALL(IF(COUNTIFS($C$36:$C$46,INDIRECT(ADDRESS(3,8)&amp;":"&amp;ADDRESS(COUNTIF($H$3:$H$37,"&gt;0")+2,8)))=0,ROW(INDIRECT(ADDRESS(3,8)&amp;":"&amp;ADDRESS(COUNTIF($H$3:$H$37,"&gt;0")+2,8))),""),ROW(A7))),"")</f>
        <v>12</v>
      </c>
      <c r="I48" s="105" cm="1">
        <f t="array" aca="1" ref="I48" ca="1">IFERROR(INDEX($I$1:$I$37,SMALL(IF(COUNTIFS($C$47:$C$66,INDIRECT(ADDRESS(3,9)&amp;":"&amp;ADDRESS(COUNTIF($I$3:$I$37,"&gt;0")+2,9)))=0,ROW(INDIRECT(ADDRESS(3,9)&amp;":"&amp;ADDRESS(COUNTIF($I$3:$I$37,"&gt;0")+2,9))),""),ROW(A7))),"")</f>
        <v>20</v>
      </c>
      <c r="J48" s="105" t="str" cm="1">
        <f t="array" aca="1" ref="J48" ca="1">IFERROR(INDEX($J$1:$J$37,SMALL(IF(COUNTIFS($C$69:$C$108,INDIRECT(ADDRESS(3,10)&amp;":"&amp;ADDRESS(COUNTIF($J$3:$J$37,"&gt;0")+2,10)))=0,ROW(INDIRECT(ADDRESS(3,10)&amp;":"&amp;ADDRESS(COUNTIF($J$3:$J$37,"&gt;0")+2,10))),""),ROW(A7))),"")</f>
        <v/>
      </c>
    </row>
    <row r="49" spans="1:13" ht="24.95" customHeight="1" x14ac:dyDescent="0.2">
      <c r="A49" s="163"/>
      <c r="B49" s="128" t="s">
        <v>175</v>
      </c>
      <c r="C49" s="51">
        <v>1</v>
      </c>
      <c r="D49" s="139" t="str">
        <f>_xlfn.IFNA(VLOOKUP(MID(_xlfn.XLOOKUP(C49,'Машины на заводе'!$B$3:$B$1000,'Машины на заводе'!$F$3:$F$1000,"",,-1),5,1),$CC$8:$CD$11,2,0),"")</f>
        <v>Самосвал</v>
      </c>
      <c r="F49" s="105" t="str" cm="1">
        <f t="array" aca="1" ref="F49" ca="1">IFERROR(INDEX($F$1:$F$37,SMALL(IF(COUNTIFS($C$2:$C$7,INDIRECT(ADDRESS(3,6)&amp;":"&amp;ADDRESS(COUNTIF($F$3:$F$37,"&gt;0")+2,6)))=0,ROW(INDIRECT(ADDRESS(3,6)&amp;":"&amp;ADDRESS(COUNTIF($F$3:$F$37,"&gt;0")+2,6))),""),ROW(A8))),"")</f>
        <v/>
      </c>
      <c r="G49" s="105" cm="1">
        <f t="array" aca="1" ref="G49" ca="1">IFERROR(INDEX($G$1:$G$37,SMALL(IF(COUNTIFS($C$8:$C$35,INDIRECT(ADDRESS(3,7)&amp;":"&amp;ADDRESS(COUNTIF($G$3:$G$37,"&gt;0")+2,7)))=0,ROW(INDIRECT(ADDRESS(3,7)&amp;":"&amp;ADDRESS(COUNTIF($G$3:$G$37,"&gt;0")+2,7))),""),ROW(B8))),"")</f>
        <v>37</v>
      </c>
      <c r="H49" s="105" cm="1">
        <f t="array" aca="1" ref="H49" ca="1">IFERROR(INDEX($H$1:$H$37,SMALL(IF(COUNTIFS($C$36:$C$46,INDIRECT(ADDRESS(3,8)&amp;":"&amp;ADDRESS(COUNTIF($H$3:$H$37,"&gt;0")+2,8)))=0,ROW(INDIRECT(ADDRESS(3,8)&amp;":"&amp;ADDRESS(COUNTIF($H$3:$H$37,"&gt;0")+2,8))),""),ROW(A8))),"")</f>
        <v>11</v>
      </c>
      <c r="I49" s="105" cm="1">
        <f t="array" aca="1" ref="I49" ca="1">IFERROR(INDEX($I$1:$I$37,SMALL(IF(COUNTIFS($C$47:$C$66,INDIRECT(ADDRESS(3,9)&amp;":"&amp;ADDRESS(COUNTIF($I$3:$I$37,"&gt;0")+2,9)))=0,ROW(INDIRECT(ADDRESS(3,9)&amp;":"&amp;ADDRESS(COUNTIF($I$3:$I$37,"&gt;0")+2,9))),""),ROW(A8))),"")</f>
        <v>19</v>
      </c>
      <c r="J49" s="105" t="str" cm="1">
        <f t="array" aca="1" ref="J49" ca="1">IFERROR(INDEX($J$1:$J$37,SMALL(IF(COUNTIFS($C$69:$C$108,INDIRECT(ADDRESS(3,10)&amp;":"&amp;ADDRESS(COUNTIF($J$3:$J$37,"&gt;0")+2,10)))=0,ROW(INDIRECT(ADDRESS(3,10)&amp;":"&amp;ADDRESS(COUNTIF($J$3:$J$37,"&gt;0")+2,10))),""),ROW(A8))),"")</f>
        <v/>
      </c>
    </row>
    <row r="50" spans="1:13" ht="24.95" customHeight="1" x14ac:dyDescent="0.2">
      <c r="A50" s="163"/>
      <c r="B50" s="128" t="s">
        <v>174</v>
      </c>
      <c r="C50" s="51">
        <v>1</v>
      </c>
      <c r="D50" s="139" t="str">
        <f>_xlfn.IFNA(VLOOKUP(MID(_xlfn.XLOOKUP(C50,'Машины на заводе'!$B$3:$B$1000,'Машины на заводе'!$F$3:$F$1000,"",,-1),5,1),$CC$8:$CD$11,2,0),"")</f>
        <v>Самосвал</v>
      </c>
      <c r="F50" s="105" t="str" cm="1">
        <f t="array" aca="1" ref="F50" ca="1">IFERROR(INDEX($F$1:$F$37,SMALL(IF(COUNTIFS($C$2:$C$7,INDIRECT(ADDRESS(3,6)&amp;":"&amp;ADDRESS(COUNTIF($F$3:$F$37,"&gt;0")+2,6)))=0,ROW(INDIRECT(ADDRESS(3,6)&amp;":"&amp;ADDRESS(COUNTIF($F$3:$F$37,"&gt;0")+2,6))),""),ROW(A9))),"")</f>
        <v/>
      </c>
      <c r="G50" s="105" cm="1">
        <f t="array" aca="1" ref="G50" ca="1">IFERROR(INDEX($G$1:$G$37,SMALL(IF(COUNTIFS($C$8:$C$35,INDIRECT(ADDRESS(3,7)&amp;":"&amp;ADDRESS(COUNTIF($G$3:$G$37,"&gt;0")+2,7)))=0,ROW(INDIRECT(ADDRESS(3,7)&amp;":"&amp;ADDRESS(COUNTIF($G$3:$G$37,"&gt;0")+2,7))),""),ROW(B9))),"")</f>
        <v>36</v>
      </c>
      <c r="H50" s="105" cm="1">
        <f t="array" aca="1" ref="H50" ca="1">IFERROR(INDEX($H$1:$H$37,SMALL(IF(COUNTIFS($C$36:$C$46,INDIRECT(ADDRESS(3,8)&amp;":"&amp;ADDRESS(COUNTIF($H$3:$H$37,"&gt;0")+2,8)))=0,ROW(INDIRECT(ADDRESS(3,8)&amp;":"&amp;ADDRESS(COUNTIF($H$3:$H$37,"&gt;0")+2,8))),""),ROW(A9))),"")</f>
        <v>10</v>
      </c>
      <c r="I50" s="105" cm="1">
        <f t="array" aca="1" ref="I50" ca="1">IFERROR(INDEX($I$1:$I$37,SMALL(IF(COUNTIFS($C$47:$C$66,INDIRECT(ADDRESS(3,9)&amp;":"&amp;ADDRESS(COUNTIF($I$3:$I$37,"&gt;0")+2,9)))=0,ROW(INDIRECT(ADDRESS(3,9)&amp;":"&amp;ADDRESS(COUNTIF($I$3:$I$37,"&gt;0")+2,9))),""),ROW(A9))),"")</f>
        <v>18</v>
      </c>
      <c r="J50" s="105" t="str" cm="1">
        <f t="array" aca="1" ref="J50" ca="1">IFERROR(INDEX($J$1:$J$37,SMALL(IF(COUNTIFS($C$69:$C$108,INDIRECT(ADDRESS(3,10)&amp;":"&amp;ADDRESS(COUNTIF($J$3:$J$37,"&gt;0")+2,10)))=0,ROW(INDIRECT(ADDRESS(3,10)&amp;":"&amp;ADDRESS(COUNTIF($J$3:$J$37,"&gt;0")+2,10))),""),ROW(A9))),"")</f>
        <v/>
      </c>
    </row>
    <row r="51" spans="1:13" ht="24.95" customHeight="1" x14ac:dyDescent="0.2">
      <c r="A51" s="163"/>
      <c r="B51" s="128" t="s">
        <v>173</v>
      </c>
      <c r="C51" s="51">
        <v>1</v>
      </c>
      <c r="D51" s="139" t="str">
        <f>_xlfn.IFNA(VLOOKUP(MID(_xlfn.XLOOKUP(C51,'Машины на заводе'!$B$3:$B$1000,'Машины на заводе'!$F$3:$F$1000,"",,-1),5,1),$CC$8:$CD$11,2,0),"")</f>
        <v>Самосвал</v>
      </c>
      <c r="F51" s="105" t="str" cm="1">
        <f t="array" aca="1" ref="F51" ca="1">IFERROR(INDEX($F$1:$F$37,SMALL(IF(COUNTIFS($C$2:$C$7,INDIRECT(ADDRESS(3,6)&amp;":"&amp;ADDRESS(COUNTIF($F$3:$F$37,"&gt;0")+2,6)))=0,ROW(INDIRECT(ADDRESS(3,6)&amp;":"&amp;ADDRESS(COUNTIF($F$3:$F$37,"&gt;0")+2,6))),""),ROW(A10))),"")</f>
        <v/>
      </c>
      <c r="G51" s="105" cm="1">
        <f t="array" aca="1" ref="G51" ca="1">IFERROR(INDEX($G$1:$G$37,SMALL(IF(COUNTIFS($C$8:$C$35,INDIRECT(ADDRESS(3,7)&amp;":"&amp;ADDRESS(COUNTIF($G$3:$G$37,"&gt;0")+2,7)))=0,ROW(INDIRECT(ADDRESS(3,7)&amp;":"&amp;ADDRESS(COUNTIF($G$3:$G$37,"&gt;0")+2,7))),""),ROW(B10))),"")</f>
        <v>35</v>
      </c>
      <c r="H51" s="105" cm="1">
        <f t="array" aca="1" ref="H51" ca="1">IFERROR(INDEX($H$1:$H$37,SMALL(IF(COUNTIFS($C$36:$C$46,INDIRECT(ADDRESS(3,8)&amp;":"&amp;ADDRESS(COUNTIF($H$3:$H$37,"&gt;0")+2,8)))=0,ROW(INDIRECT(ADDRESS(3,8)&amp;":"&amp;ADDRESS(COUNTIF($H$3:$H$37,"&gt;0")+2,8))),""),ROW(A10))),"")</f>
        <v>9</v>
      </c>
      <c r="I51" s="105" cm="1">
        <f t="array" aca="1" ref="I51" ca="1">IFERROR(INDEX($I$1:$I$37,SMALL(IF(COUNTIFS($C$47:$C$66,INDIRECT(ADDRESS(3,9)&amp;":"&amp;ADDRESS(COUNTIF($I$3:$I$37,"&gt;0")+2,9)))=0,ROW(INDIRECT(ADDRESS(3,9)&amp;":"&amp;ADDRESS(COUNTIF($I$3:$I$37,"&gt;0")+2,9))),""),ROW(A10))),"")</f>
        <v>17</v>
      </c>
      <c r="J51" s="105" t="str" cm="1">
        <f t="array" aca="1" ref="J51" ca="1">IFERROR(INDEX($J$1:$J$37,SMALL(IF(COUNTIFS($C$69:$C$108,INDIRECT(ADDRESS(3,10)&amp;":"&amp;ADDRESS(COUNTIF($J$3:$J$37,"&gt;0")+2,10)))=0,ROW(INDIRECT(ADDRESS(3,10)&amp;":"&amp;ADDRESS(COUNTIF($J$3:$J$37,"&gt;0")+2,10))),""),ROW(A10))),"")</f>
        <v/>
      </c>
    </row>
    <row r="52" spans="1:13" ht="24.95" customHeight="1" x14ac:dyDescent="0.2">
      <c r="A52" s="163"/>
      <c r="B52" s="128" t="s">
        <v>172</v>
      </c>
      <c r="C52" s="51">
        <v>1</v>
      </c>
      <c r="D52" s="139" t="str">
        <f>_xlfn.IFNA(VLOOKUP(MID(_xlfn.XLOOKUP(C52,'Машины на заводе'!$B$3:$B$1000,'Машины на заводе'!$F$3:$F$1000,"",,-1),5,1),$CC$8:$CD$11,2,0),"")</f>
        <v>Самосвал</v>
      </c>
    </row>
    <row r="53" spans="1:13" ht="24.95" customHeight="1" x14ac:dyDescent="0.2">
      <c r="A53" s="163"/>
      <c r="B53" s="128" t="s">
        <v>171</v>
      </c>
      <c r="C53" s="51">
        <v>1</v>
      </c>
      <c r="D53" s="139" t="str">
        <f>_xlfn.IFNA(VLOOKUP(MID(_xlfn.XLOOKUP(C53,'Машины на заводе'!$B$3:$B$1000,'Машины на заводе'!$F$3:$F$1000,"",,-1),5,1),$CC$8:$CD$11,2,0),"")</f>
        <v>Самосвал</v>
      </c>
    </row>
    <row r="54" spans="1:13" ht="24.95" customHeight="1" x14ac:dyDescent="0.2">
      <c r="A54" s="163"/>
      <c r="B54" s="128" t="s">
        <v>170</v>
      </c>
      <c r="C54" s="51">
        <v>1</v>
      </c>
      <c r="D54" s="139" t="str">
        <f>_xlfn.IFNA(VLOOKUP(MID(_xlfn.XLOOKUP(C54,'Машины на заводе'!$B$3:$B$1000,'Машины на заводе'!$F$3:$F$1000,"",,-1),5,1),$CC$8:$CD$11,2,0),"")</f>
        <v>Самосвал</v>
      </c>
    </row>
    <row r="55" spans="1:13" ht="24.95" customHeight="1" x14ac:dyDescent="0.2">
      <c r="A55" s="163"/>
      <c r="B55" s="127" t="s">
        <v>226</v>
      </c>
      <c r="C55" s="51">
        <v>1</v>
      </c>
      <c r="D55" s="139" t="str">
        <f>_xlfn.IFNA(VLOOKUP(MID(_xlfn.XLOOKUP(C55,'Машины на заводе'!$B$3:$B$1000,'Машины на заводе'!$F$3:$F$1000,"",,-1),5,1),$CC$8:$CD$11,2,0),"")</f>
        <v>Самосвал</v>
      </c>
      <c r="F55" s="171" t="s">
        <v>361</v>
      </c>
      <c r="G55" s="171"/>
      <c r="H55" s="171"/>
      <c r="I55" s="171"/>
      <c r="J55" s="171"/>
    </row>
    <row r="56" spans="1:13" ht="24.95" customHeight="1" x14ac:dyDescent="0.2">
      <c r="A56" s="163"/>
      <c r="B56" s="127" t="s">
        <v>225</v>
      </c>
      <c r="C56" s="51">
        <v>1</v>
      </c>
      <c r="D56" s="139" t="str">
        <f>_xlfn.IFNA(VLOOKUP(MID(_xlfn.XLOOKUP(C56,'Машины на заводе'!$B$3:$B$1000,'Машины на заводе'!$F$3:$F$1000,"",,-1),5,1),$CC$8:$CD$11,2,0),"")</f>
        <v>Самосвал</v>
      </c>
      <c r="F56" s="101" t="s">
        <v>146</v>
      </c>
      <c r="G56" s="101" t="s">
        <v>289</v>
      </c>
      <c r="H56" s="101" t="s">
        <v>292</v>
      </c>
      <c r="I56" s="101" t="s">
        <v>290</v>
      </c>
      <c r="J56" s="101" t="s">
        <v>291</v>
      </c>
    </row>
    <row r="57" spans="1:13" ht="24.95" customHeight="1" x14ac:dyDescent="0.2">
      <c r="A57" s="163"/>
      <c r="B57" s="130" t="s">
        <v>224</v>
      </c>
      <c r="C57" s="51">
        <v>1</v>
      </c>
      <c r="D57" s="139" t="str">
        <f>_xlfn.IFNA(VLOOKUP(MID(_xlfn.XLOOKUP(C57,'Машины на заводе'!$B$3:$B$1000,'Машины на заводе'!$F$3:$F$1000,"",,-1),5,1),$CC$8:$CD$11,2,0),"")</f>
        <v>Самосвал</v>
      </c>
      <c r="F57" s="105" cm="1">
        <f t="array" aca="1" ref="F57" ca="1">IFERROR(INDEX($C$1:$C$108,SMALL(IF(COUNTIFS(INDIRECT(ADDRESS(3,6)&amp;":"&amp;ADDRESS(COUNTIF($F$3:$F$37,"&gt;0")+3,6)),IF($C$2:$C$7="",$F$3,$C$2:$C$7))=0,ROW($C$2:$C$7),""),ROW(A1))),"")</f>
        <v>1</v>
      </c>
      <c r="G57" s="105" cm="1">
        <f t="array" aca="1" ref="G57" ca="1">IFERROR(INDEX($C$1:$C$108,SMALL(IF(COUNTIFS(INDIRECT(ADDRESS(3,7)&amp;":"&amp;ADDRESS(COUNTIF($G$3:$G$37,"&gt;0")+3,7)),IF($C$8:$C$35="",$G$3,$C$8:$C$35))=0,ROW($C$8:$C$35),""),ROW(B1))),"")</f>
        <v>1</v>
      </c>
      <c r="H57" s="105" cm="1">
        <f t="array" aca="1" ref="H57" ca="1">IFERROR(INDEX($C$1:$C$108,SMALL(IF(COUNTIFS(INDIRECT(ADDRESS(3,8)&amp;":"&amp;ADDRESS(COUNTIF($H$3:$H$37,"&gt;0")+3,8)),IF($C$36:$C$46="",$H$3,$C$36:$C$46))=0,ROW($C$36:$C$46),""),ROW(A1))),"")</f>
        <v>1</v>
      </c>
      <c r="I57" s="105" cm="1">
        <f t="array" aca="1" ref="I57" ca="1">IFERROR(INDEX($C$1:$C$108,SMALL(IF(COUNTIFS(INDIRECT(ADDRESS(3,9)&amp;":"&amp;ADDRESS(COUNTIF($I$3:$I$37,"&gt;0")+3,9)),IF($C$47:$C$66="",$I$3,$C$47:$C$66))=0,ROW($C$47:$C$66),""),ROW(A1))),"")</f>
        <v>1</v>
      </c>
      <c r="J57" s="105" cm="1">
        <f t="array" aca="1" ref="J57" ca="1">IFERROR(INDEX($C$1:$C$108,SMALL(IF(COUNTIFS(INDIRECT(ADDRESS(3,10)&amp;":"&amp;ADDRESS(COUNTIF($J$3:$J$37,"&gt;0")+3,10)),IF($C$69:$C$108="",$J$3,$C$69:$C$108))=0,ROW($C$69:$C$108),""),ROW(A1))),"")</f>
        <v>1</v>
      </c>
      <c r="M57" s="147"/>
    </row>
    <row r="58" spans="1:13" ht="24.95" customHeight="1" x14ac:dyDescent="0.2">
      <c r="A58" s="163"/>
      <c r="B58" s="130" t="s">
        <v>223</v>
      </c>
      <c r="C58" s="51">
        <v>1</v>
      </c>
      <c r="D58" s="139" t="str">
        <f>_xlfn.IFNA(VLOOKUP(MID(_xlfn.XLOOKUP(C58,'Машины на заводе'!$B$3:$B$1000,'Машины на заводе'!$F$3:$F$1000,"",,-1),5,1),$CC$8:$CD$11,2,0),"")</f>
        <v>Самосвал</v>
      </c>
      <c r="F58" s="105" cm="1">
        <f t="array" aca="1" ref="F58" ca="1">IFERROR(INDEX($C$1:$C$108,SMALL(IF(COUNTIFS(INDIRECT(ADDRESS(3,6)&amp;":"&amp;ADDRESS(COUNTIF($F$3:$F$37,"&gt;0")+3,6)),IF($C$2:$C$7="",$F$3,$C$2:$C$7))=0,ROW($C$2:$C$7),""),ROW(A2))),"")</f>
        <v>1</v>
      </c>
      <c r="G58" s="105" cm="1">
        <f t="array" aca="1" ref="G58" ca="1">IFERROR(INDEX($C$1:$C$108,SMALL(IF(COUNTIFS(INDIRECT(ADDRESS(3,7)&amp;":"&amp;ADDRESS(COUNTIF($G$3:$G$37,"&gt;0")+3,7)),IF($C$8:$C$35="",$G$3,$C$8:$C$35))=0,ROW($C$8:$C$35),""),ROW(B2))),"")</f>
        <v>1</v>
      </c>
      <c r="H58" s="105" cm="1">
        <f t="array" aca="1" ref="H58" ca="1">IFERROR(INDEX($C$1:$C$108,SMALL(IF(COUNTIFS(INDIRECT(ADDRESS(3,8)&amp;":"&amp;ADDRESS(COUNTIF($H$3:$H$37,"&gt;0")+3,8)),IF($C$36:$C$46="",$H$3,$C$36:$C$46))=0,ROW($C$36:$C$46),""),ROW(A2))),"")</f>
        <v>1</v>
      </c>
      <c r="I58" s="105" cm="1">
        <f t="array" aca="1" ref="I58" ca="1">IFERROR(INDEX($C$1:$C$108,SMALL(IF(COUNTIFS(INDIRECT(ADDRESS(3,9)&amp;":"&amp;ADDRESS(COUNTIF($I$3:$I$37,"&gt;0")+3,9)),IF($C$47:$C$66="",$I$3,$C$47:$C$66))=0,ROW($C$47:$C$66),""),ROW(A2))),"")</f>
        <v>1</v>
      </c>
      <c r="J58" s="105" cm="1">
        <f t="array" aca="1" ref="J58" ca="1">IFERROR(INDEX($C$1:$C$108,SMALL(IF(COUNTIFS(INDIRECT(ADDRESS(3,10)&amp;":"&amp;ADDRESS(COUNTIF($J$3:$J$37,"&gt;0")+3,10)),IF($C$69:$C$108="",$J$3,$C$69:$C$108))=0,ROW($C$69:$C$108),""),ROW(A2))),"")</f>
        <v>1</v>
      </c>
    </row>
    <row r="59" spans="1:13" ht="24.95" customHeight="1" x14ac:dyDescent="0.2">
      <c r="A59" s="163"/>
      <c r="B59" s="128" t="s">
        <v>169</v>
      </c>
      <c r="C59" s="51">
        <v>1</v>
      </c>
      <c r="D59" s="139" t="str">
        <f>_xlfn.IFNA(VLOOKUP(MID(_xlfn.XLOOKUP(C59,'Машины на заводе'!$B$3:$B$1000,'Машины на заводе'!$F$3:$F$1000,"",,-1),5,1),$CC$8:$CD$11,2,0),"")</f>
        <v>Самосвал</v>
      </c>
      <c r="F59" s="105" cm="1">
        <f t="array" aca="1" ref="F59" ca="1">IFERROR(INDEX($C$1:$C$108,SMALL(IF(COUNTIFS(INDIRECT(ADDRESS(3,6)&amp;":"&amp;ADDRESS(COUNTIF($F$3:$F$37,"&gt;0")+3,6)),IF($C$2:$C$7="",$F$3,$C$2:$C$7))=0,ROW($C$2:$C$7),""),ROW(A3))),"")</f>
        <v>1</v>
      </c>
      <c r="G59" s="105" cm="1">
        <f t="array" aca="1" ref="G59" ca="1">IFERROR(INDEX($C$1:$C$108,SMALL(IF(COUNTIFS(INDIRECT(ADDRESS(3,7)&amp;":"&amp;ADDRESS(COUNTIF($G$3:$G$37,"&gt;0")+3,7)),IF($C$8:$C$35="",$G$3,$C$8:$C$35))=0,ROW($C$8:$C$35),""),ROW(B3))),"")</f>
        <v>1</v>
      </c>
      <c r="H59" s="105" cm="1">
        <f t="array" aca="1" ref="H59" ca="1">IFERROR(INDEX($C$1:$C$108,SMALL(IF(COUNTIFS(INDIRECT(ADDRESS(3,8)&amp;":"&amp;ADDRESS(COUNTIF($H$3:$H$37,"&gt;0")+3,8)),IF($C$36:$C$46="",$H$3,$C$36:$C$46))=0,ROW($C$36:$C$46),""),ROW(A3))),"")</f>
        <v>1</v>
      </c>
      <c r="I59" s="105" cm="1">
        <f t="array" aca="1" ref="I59" ca="1">IFERROR(INDEX($C$1:$C$108,SMALL(IF(COUNTIFS(INDIRECT(ADDRESS(3,9)&amp;":"&amp;ADDRESS(COUNTIF($I$3:$I$37,"&gt;0")+3,9)),IF($C$47:$C$66="",$I$3,$C$47:$C$66))=0,ROW($C$47:$C$66),""),ROW(A3))),"")</f>
        <v>1</v>
      </c>
      <c r="J59" s="105" cm="1">
        <f t="array" aca="1" ref="J59" ca="1">IFERROR(INDEX($C$1:$C$108,SMALL(IF(COUNTIFS(INDIRECT(ADDRESS(3,10)&amp;":"&amp;ADDRESS(COUNTIF($J$3:$J$37,"&gt;0")+3,10)),IF($C$69:$C$108="",$J$3,$C$69:$C$108))=0,ROW($C$69:$C$108),""),ROW(A3))),"")</f>
        <v>1</v>
      </c>
    </row>
    <row r="60" spans="1:13" ht="24.95" customHeight="1" x14ac:dyDescent="0.2">
      <c r="A60" s="163"/>
      <c r="B60" s="128" t="s">
        <v>168</v>
      </c>
      <c r="C60" s="51">
        <v>1</v>
      </c>
      <c r="D60" s="139" t="str">
        <f>_xlfn.IFNA(VLOOKUP(MID(_xlfn.XLOOKUP(C60,'Машины на заводе'!$B$3:$B$1000,'Машины на заводе'!$F$3:$F$1000,"",,-1),5,1),$CC$8:$CD$11,2,0),"")</f>
        <v>Самосвал</v>
      </c>
      <c r="F60" s="105" cm="1">
        <f t="array" aca="1" ref="F60" ca="1">IFERROR(INDEX($C$1:$C$108,SMALL(IF(COUNTIFS(INDIRECT(ADDRESS(3,6)&amp;":"&amp;ADDRESS(COUNTIF($F$3:$F$37,"&gt;0")+3,6)),IF($C$2:$C$7="",$F$3,$C$2:$C$7))=0,ROW($C$2:$C$7),""),ROW(A4))),"")</f>
        <v>1</v>
      </c>
      <c r="G60" s="105" cm="1">
        <f t="array" aca="1" ref="G60" ca="1">IFERROR(INDEX($C$1:$C$108,SMALL(IF(COUNTIFS(INDIRECT(ADDRESS(3,7)&amp;":"&amp;ADDRESS(COUNTIF($G$3:$G$37,"&gt;0")+3,7)),IF($C$8:$C$35="",$G$3,$C$8:$C$35))=0,ROW($C$8:$C$35),""),ROW(B4))),"")</f>
        <v>1</v>
      </c>
      <c r="H60" s="105" cm="1">
        <f t="array" aca="1" ref="H60" ca="1">IFERROR(INDEX($C$1:$C$108,SMALL(IF(COUNTIFS(INDIRECT(ADDRESS(3,8)&amp;":"&amp;ADDRESS(COUNTIF($H$3:$H$37,"&gt;0")+3,8)),IF($C$36:$C$46="",$H$3,$C$36:$C$46))=0,ROW($C$36:$C$46),""),ROW(A4))),"")</f>
        <v>1</v>
      </c>
      <c r="I60" s="105" cm="1">
        <f t="array" aca="1" ref="I60" ca="1">IFERROR(INDEX($C$1:$C$108,SMALL(IF(COUNTIFS(INDIRECT(ADDRESS(3,9)&amp;":"&amp;ADDRESS(COUNTIF($I$3:$I$37,"&gt;0")+3,9)),IF($C$47:$C$66="",$I$3,$C$47:$C$66))=0,ROW($C$47:$C$66),""),ROW(A4))),"")</f>
        <v>1</v>
      </c>
      <c r="J60" s="105" cm="1">
        <f t="array" aca="1" ref="J60" ca="1">IFERROR(INDEX($C$1:$C$108,SMALL(IF(COUNTIFS(INDIRECT(ADDRESS(3,10)&amp;":"&amp;ADDRESS(COUNTIF($J$3:$J$37,"&gt;0")+3,10)),IF($C$69:$C$108="",$J$3,$C$69:$C$108))=0,ROW($C$69:$C$108),""),ROW(A4))),"")</f>
        <v>1</v>
      </c>
    </row>
    <row r="61" spans="1:13" ht="24.95" customHeight="1" x14ac:dyDescent="0.2">
      <c r="A61" s="163"/>
      <c r="B61" s="128" t="s">
        <v>167</v>
      </c>
      <c r="C61" s="51">
        <v>1</v>
      </c>
      <c r="D61" s="139" t="str">
        <f>_xlfn.IFNA(VLOOKUP(MID(_xlfn.XLOOKUP(C61,'Машины на заводе'!$B$3:$B$1000,'Машины на заводе'!$F$3:$F$1000,"",,-1),5,1),$CC$8:$CD$11,2,0),"")</f>
        <v>Самосвал</v>
      </c>
      <c r="F61" s="105" cm="1">
        <f t="array" aca="1" ref="F61" ca="1">IFERROR(INDEX($C$1:$C$108,SMALL(IF(COUNTIFS(INDIRECT(ADDRESS(3,6)&amp;":"&amp;ADDRESS(COUNTIF($F$3:$F$37,"&gt;0")+3,6)),IF($C$2:$C$7="",$F$3,$C$2:$C$7))=0,ROW($C$2:$C$7),""),ROW(A5))),"")</f>
        <v>1</v>
      </c>
      <c r="G61" s="105" cm="1">
        <f t="array" aca="1" ref="G61" ca="1">IFERROR(INDEX($C$1:$C$108,SMALL(IF(COUNTIFS(INDIRECT(ADDRESS(3,7)&amp;":"&amp;ADDRESS(COUNTIF($G$3:$G$37,"&gt;0")+3,7)),IF($C$8:$C$35="",$G$3,$C$8:$C$35))=0,ROW($C$8:$C$35),""),ROW(B5))),"")</f>
        <v>1</v>
      </c>
      <c r="H61" s="105" cm="1">
        <f t="array" aca="1" ref="H61" ca="1">IFERROR(INDEX($C$1:$C$108,SMALL(IF(COUNTIFS(INDIRECT(ADDRESS(3,8)&amp;":"&amp;ADDRESS(COUNTIF($H$3:$H$37,"&gt;0")+3,8)),IF($C$36:$C$46="",$H$3,$C$36:$C$46))=0,ROW($C$36:$C$46),""),ROW(A5))),"")</f>
        <v>1</v>
      </c>
      <c r="I61" s="105" cm="1">
        <f t="array" aca="1" ref="I61" ca="1">IFERROR(INDEX($C$1:$C$108,SMALL(IF(COUNTIFS(INDIRECT(ADDRESS(3,9)&amp;":"&amp;ADDRESS(COUNTIF($I$3:$I$37,"&gt;0")+3,9)),IF($C$47:$C$66="",$I$3,$C$47:$C$66))=0,ROW($C$47:$C$66),""),ROW(A5))),"")</f>
        <v>1</v>
      </c>
      <c r="J61" s="105" cm="1">
        <f t="array" aca="1" ref="J61" ca="1">IFERROR(INDEX($C$1:$C$108,SMALL(IF(COUNTIFS(INDIRECT(ADDRESS(3,10)&amp;":"&amp;ADDRESS(COUNTIF($J$3:$J$37,"&gt;0")+3,10)),IF($C$69:$C$108="",$J$3,$C$69:$C$108))=0,ROW($C$69:$C$108),""),ROW(A5))),"")</f>
        <v>1</v>
      </c>
    </row>
    <row r="62" spans="1:13" ht="24.95" customHeight="1" x14ac:dyDescent="0.2">
      <c r="A62" s="163"/>
      <c r="B62" s="128" t="s">
        <v>166</v>
      </c>
      <c r="C62" s="51">
        <v>1</v>
      </c>
      <c r="D62" s="139" t="str">
        <f>_xlfn.IFNA(VLOOKUP(MID(_xlfn.XLOOKUP(C62,'Машины на заводе'!$B$3:$B$1000,'Машины на заводе'!$F$3:$F$1000,"",,-1),5,1),$CC$8:$CD$11,2,0),"")</f>
        <v>Самосвал</v>
      </c>
      <c r="F62" s="105" cm="1">
        <f t="array" aca="1" ref="F62" ca="1">IFERROR(INDEX($C$1:$C$108,SMALL(IF(COUNTIFS(INDIRECT(ADDRESS(3,6)&amp;":"&amp;ADDRESS(COUNTIF($F$3:$F$37,"&gt;0")+3,6)),IF($C$2:$C$7="",$F$3,$C$2:$C$7))=0,ROW($C$2:$C$7),""),ROW(A6))),"")</f>
        <v>1</v>
      </c>
      <c r="G62" s="105" cm="1">
        <f t="array" aca="1" ref="G62" ca="1">IFERROR(INDEX($C$1:$C$108,SMALL(IF(COUNTIFS(INDIRECT(ADDRESS(3,7)&amp;":"&amp;ADDRESS(COUNTIF($G$3:$G$37,"&gt;0")+3,7)),IF($C$8:$C$35="",$G$3,$C$8:$C$35))=0,ROW($C$8:$C$35),""),ROW(B6))),"")</f>
        <v>1</v>
      </c>
      <c r="H62" s="105" cm="1">
        <f t="array" aca="1" ref="H62" ca="1">IFERROR(INDEX($C$1:$C$108,SMALL(IF(COUNTIFS(INDIRECT(ADDRESS(3,8)&amp;":"&amp;ADDRESS(COUNTIF($H$3:$H$37,"&gt;0")+3,8)),IF($C$36:$C$46="",$H$3,$C$36:$C$46))=0,ROW($C$36:$C$46),""),ROW(A6))),"")</f>
        <v>1</v>
      </c>
      <c r="I62" s="105" cm="1">
        <f t="array" aca="1" ref="I62" ca="1">IFERROR(INDEX($C$1:$C$108,SMALL(IF(COUNTIFS(INDIRECT(ADDRESS(3,9)&amp;":"&amp;ADDRESS(COUNTIF($I$3:$I$37,"&gt;0")+3,9)),IF($C$47:$C$66="",$I$3,$C$47:$C$66))=0,ROW($C$47:$C$66),""),ROW(A6))),"")</f>
        <v>1</v>
      </c>
      <c r="J62" s="105" cm="1">
        <f t="array" aca="1" ref="J62" ca="1">IFERROR(INDEX($C$1:$C$108,SMALL(IF(COUNTIFS(INDIRECT(ADDRESS(3,10)&amp;":"&amp;ADDRESS(COUNTIF($J$3:$J$37,"&gt;0")+3,10)),IF($C$69:$C$108="",$J$3,$C$69:$C$108))=0,ROW($C$69:$C$108),""),ROW(A6))),"")</f>
        <v>1</v>
      </c>
    </row>
    <row r="63" spans="1:13" ht="24.95" customHeight="1" x14ac:dyDescent="0.2">
      <c r="A63" s="163"/>
      <c r="B63" s="128" t="s">
        <v>165</v>
      </c>
      <c r="C63" s="51">
        <v>1</v>
      </c>
      <c r="D63" s="139" t="str">
        <f>_xlfn.IFNA(VLOOKUP(MID(_xlfn.XLOOKUP(C63,'Машины на заводе'!$B$3:$B$1000,'Машины на заводе'!$F$3:$F$1000,"",,-1),5,1),$CC$8:$CD$11,2,0),"")</f>
        <v>Самосвал</v>
      </c>
      <c r="F63" s="105" t="str" cm="1">
        <f t="array" aca="1" ref="F63" ca="1">IFERROR(INDEX($C$1:$C$108,SMALL(IF(COUNTIFS(INDIRECT(ADDRESS(3,6)&amp;":"&amp;ADDRESS(COUNTIF($F$3:$F$37,"&gt;0")+3,6)),IF($C$2:$C$7="",$F$3,$C$2:$C$7))=0,ROW($C$2:$C$7),""),ROW(A7))),"")</f>
        <v/>
      </c>
      <c r="G63" s="105" cm="1">
        <f t="array" aca="1" ref="G63" ca="1">IFERROR(INDEX($C$1:$C$108,SMALL(IF(COUNTIFS(INDIRECT(ADDRESS(3,7)&amp;":"&amp;ADDRESS(COUNTIF($G$3:$G$37,"&gt;0")+3,7)),IF($C$8:$C$35="",$G$3,$C$8:$C$35))=0,ROW($C$8:$C$35),""),ROW(B7))),"")</f>
        <v>1</v>
      </c>
      <c r="H63" s="105" cm="1">
        <f t="array" aca="1" ref="H63" ca="1">IFERROR(INDEX($C$1:$C$108,SMALL(IF(COUNTIFS(INDIRECT(ADDRESS(3,8)&amp;":"&amp;ADDRESS(COUNTIF($H$3:$H$37,"&gt;0")+3,8)),IF($C$36:$C$46="",$H$3,$C$36:$C$46))=0,ROW($C$36:$C$46),""),ROW(A7))),"")</f>
        <v>1</v>
      </c>
      <c r="I63" s="105" cm="1">
        <f t="array" aca="1" ref="I63" ca="1">IFERROR(INDEX($C$1:$C$108,SMALL(IF(COUNTIFS(INDIRECT(ADDRESS(3,9)&amp;":"&amp;ADDRESS(COUNTIF($I$3:$I$37,"&gt;0")+3,9)),IF($C$47:$C$66="",$I$3,$C$47:$C$66))=0,ROW($C$47:$C$66),""),ROW(A7))),"")</f>
        <v>1</v>
      </c>
      <c r="J63" s="105" cm="1">
        <f t="array" aca="1" ref="J63" ca="1">IFERROR(INDEX($C$1:$C$108,SMALL(IF(COUNTIFS(INDIRECT(ADDRESS(3,10)&amp;":"&amp;ADDRESS(COUNTIF($J$3:$J$37,"&gt;0")+3,10)),IF($C$69:$C$108="",$J$3,$C$69:$C$108))=0,ROW($C$69:$C$108),""),ROW(A7))),"")</f>
        <v>1</v>
      </c>
    </row>
    <row r="64" spans="1:13" ht="24.95" customHeight="1" x14ac:dyDescent="0.2">
      <c r="A64" s="163"/>
      <c r="B64" s="128" t="s">
        <v>164</v>
      </c>
      <c r="C64" s="51">
        <v>1</v>
      </c>
      <c r="D64" s="139" t="str">
        <f>_xlfn.IFNA(VLOOKUP(MID(_xlfn.XLOOKUP(C64,'Машины на заводе'!$B$3:$B$1000,'Машины на заводе'!$F$3:$F$1000,"",,-1),5,1),$CC$8:$CD$11,2,0),"")</f>
        <v>Самосвал</v>
      </c>
      <c r="F64" s="105" t="str" cm="1">
        <f t="array" aca="1" ref="F64" ca="1">IFERROR(INDEX($C$1:$C$108,SMALL(IF(COUNTIFS(INDIRECT(ADDRESS(3,6)&amp;":"&amp;ADDRESS(COUNTIF($F$3:$F$37,"&gt;0")+3,6)),IF($C$2:$C$7="",$F$3,$C$2:$C$7))=0,ROW($C$2:$C$7),""),ROW(A8))),"")</f>
        <v/>
      </c>
      <c r="G64" s="105" cm="1">
        <f t="array" aca="1" ref="G64" ca="1">IFERROR(INDEX($C$1:$C$108,SMALL(IF(COUNTIFS(INDIRECT(ADDRESS(3,7)&amp;":"&amp;ADDRESS(COUNTIF($G$3:$G$37,"&gt;0")+3,7)),IF($C$8:$C$35="",$G$3,$C$8:$C$35))=0,ROW($C$8:$C$35),""),ROW(B8))),"")</f>
        <v>1</v>
      </c>
      <c r="H64" s="105" cm="1">
        <f t="array" aca="1" ref="H64" ca="1">IFERROR(INDEX($C$1:$C$108,SMALL(IF(COUNTIFS(INDIRECT(ADDRESS(3,8)&amp;":"&amp;ADDRESS(COUNTIF($H$3:$H$37,"&gt;0")+3,8)),IF($C$36:$C$46="",$H$3,$C$36:$C$46))=0,ROW($C$36:$C$46),""),ROW(A8))),"")</f>
        <v>1</v>
      </c>
      <c r="I64" s="105" cm="1">
        <f t="array" aca="1" ref="I64" ca="1">IFERROR(INDEX($C$1:$C$108,SMALL(IF(COUNTIFS(INDIRECT(ADDRESS(3,9)&amp;":"&amp;ADDRESS(COUNTIF($I$3:$I$37,"&gt;0")+3,9)),IF($C$47:$C$66="",$I$3,$C$47:$C$66))=0,ROW($C$47:$C$66),""),ROW(A8))),"")</f>
        <v>1</v>
      </c>
      <c r="J64" s="105" cm="1">
        <f t="array" aca="1" ref="J64" ca="1">IFERROR(INDEX($C$1:$C$108,SMALL(IF(COUNTIFS(INDIRECT(ADDRESS(3,10)&amp;":"&amp;ADDRESS(COUNTIF($J$3:$J$37,"&gt;0")+3,10)),IF($C$69:$C$108="",$J$3,$C$69:$C$108))=0,ROW($C$69:$C$108),""),ROW(A8))),"")</f>
        <v>1</v>
      </c>
    </row>
    <row r="65" spans="1:10" ht="24.95" customHeight="1" x14ac:dyDescent="0.2">
      <c r="A65" s="163"/>
      <c r="B65" s="128" t="s">
        <v>163</v>
      </c>
      <c r="C65" s="51">
        <v>1</v>
      </c>
      <c r="D65" s="139" t="str">
        <f>_xlfn.IFNA(VLOOKUP(MID(_xlfn.XLOOKUP(C65,'Машины на заводе'!$B$3:$B$1000,'Машины на заводе'!$F$3:$F$1000,"",,-1),5,1),$CC$8:$CD$11,2,0),"")</f>
        <v>Самосвал</v>
      </c>
      <c r="F65" s="105" t="str" cm="1">
        <f t="array" aca="1" ref="F65" ca="1">IFERROR(INDEX($C$1:$C$108,SMALL(IF(COUNTIFS(INDIRECT(ADDRESS(3,6)&amp;":"&amp;ADDRESS(COUNTIF($F$3:$F$37,"&gt;0")+3,6)),IF($C$2:$C$7="",$F$3,$C$2:$C$7))=0,ROW($C$2:$C$7),""),ROW(A9))),"")</f>
        <v/>
      </c>
      <c r="G65" s="105" cm="1">
        <f t="array" aca="1" ref="G65" ca="1">IFERROR(INDEX($C$1:$C$108,SMALL(IF(COUNTIFS(INDIRECT(ADDRESS(3,7)&amp;":"&amp;ADDRESS(COUNTIF($G$3:$G$37,"&gt;0")+3,7)),IF($C$8:$C$35="",$G$3,$C$8:$C$35))=0,ROW($C$8:$C$35),""),ROW(B9))),"")</f>
        <v>1</v>
      </c>
      <c r="H65" s="105" cm="1">
        <f t="array" aca="1" ref="H65" ca="1">IFERROR(INDEX($C$1:$C$108,SMALL(IF(COUNTIFS(INDIRECT(ADDRESS(3,8)&amp;":"&amp;ADDRESS(COUNTIF($H$3:$H$37,"&gt;0")+3,8)),IF($C$36:$C$46="",$H$3,$C$36:$C$46))=0,ROW($C$36:$C$46),""),ROW(A9))),"")</f>
        <v>1</v>
      </c>
      <c r="I65" s="105" cm="1">
        <f t="array" aca="1" ref="I65" ca="1">IFERROR(INDEX($C$1:$C$108,SMALL(IF(COUNTIFS(INDIRECT(ADDRESS(3,9)&amp;":"&amp;ADDRESS(COUNTIF($I$3:$I$37,"&gt;0")+3,9)),IF($C$47:$C$66="",$I$3,$C$47:$C$66))=0,ROW($C$47:$C$66),""),ROW(A9))),"")</f>
        <v>1</v>
      </c>
      <c r="J65" s="105" cm="1">
        <f t="array" aca="1" ref="J65" ca="1">IFERROR(INDEX($C$1:$C$108,SMALL(IF(COUNTIFS(INDIRECT(ADDRESS(3,10)&amp;":"&amp;ADDRESS(COUNTIF($J$3:$J$37,"&gt;0")+3,10)),IF($C$69:$C$108="",$J$3,$C$69:$C$108))=0,ROW($C$69:$C$108),""),ROW(A9))),"")</f>
        <v>1</v>
      </c>
    </row>
    <row r="66" spans="1:10" ht="24.95" customHeight="1" thickBot="1" x14ac:dyDescent="0.25">
      <c r="A66" s="164"/>
      <c r="B66" s="128" t="s">
        <v>162</v>
      </c>
      <c r="C66" s="51">
        <v>1</v>
      </c>
      <c r="D66" s="139" t="str">
        <f>_xlfn.IFNA(VLOOKUP(MID(_xlfn.XLOOKUP(C66,'Машины на заводе'!$B$3:$B$1000,'Машины на заводе'!$F$3:$F$1000,"",,-1),5,1),$CC$8:$CD$11,2,0),"")</f>
        <v>Самосвал</v>
      </c>
      <c r="F66" s="105" t="str" cm="1">
        <f t="array" aca="1" ref="F66" ca="1">IFERROR(INDEX($C$1:$C$108,SMALL(IF(COUNTIFS(INDIRECT(ADDRESS(3,6)&amp;":"&amp;ADDRESS(COUNTIF($F$3:$F$37,"&gt;0")+3,6)),IF($C$2:$C$7="",$F$3,$C$2:$C$7))=0,ROW($C$2:$C$7),""),ROW(A10))),"")</f>
        <v/>
      </c>
      <c r="G66" s="105" cm="1">
        <f t="array" aca="1" ref="G66" ca="1">IFERROR(INDEX($C$1:$C$108,SMALL(IF(COUNTIFS(INDIRECT(ADDRESS(3,7)&amp;":"&amp;ADDRESS(COUNTIF($G$3:$G$37,"&gt;0")+3,7)),IF($C$8:$C$35="",$G$3,$C$8:$C$35))=0,ROW($C$8:$C$35),""),ROW(B10))),"")</f>
        <v>1</v>
      </c>
      <c r="H66" s="105" cm="1">
        <f t="array" aca="1" ref="H66" ca="1">IFERROR(INDEX($C$1:$C$108,SMALL(IF(COUNTIFS(INDIRECT(ADDRESS(3,8)&amp;":"&amp;ADDRESS(COUNTIF($H$3:$H$37,"&gt;0")+3,8)),IF($C$36:$C$46="",$H$3,$C$36:$C$46))=0,ROW($C$36:$C$46),""),ROW(A10))),"")</f>
        <v>1</v>
      </c>
      <c r="I66" s="105" cm="1">
        <f t="array" aca="1" ref="I66" ca="1">IFERROR(INDEX($C$1:$C$108,SMALL(IF(COUNTIFS(INDIRECT(ADDRESS(3,9)&amp;":"&amp;ADDRESS(COUNTIF($I$3:$I$37,"&gt;0")+3,9)),IF($C$47:$C$66="",$I$3,$C$47:$C$66))=0,ROW($C$47:$C$66),""),ROW(A10))),"")</f>
        <v>1</v>
      </c>
      <c r="J66" s="105" cm="1">
        <f t="array" aca="1" ref="J66" ca="1">IFERROR(INDEX($C$1:$C$108,SMALL(IF(COUNTIFS(INDIRECT(ADDRESS(3,10)&amp;":"&amp;ADDRESS(COUNTIF($J$3:$J$37,"&gt;0")+3,10)),IF($C$69:$C$108="",$J$3,$C$69:$C$108))=0,ROW($C$69:$C$108),""),ROW(A10))),"")</f>
        <v>1</v>
      </c>
    </row>
    <row r="67" spans="1:10" ht="24.95" customHeight="1" x14ac:dyDescent="0.2">
      <c r="A67" s="182" t="s">
        <v>302</v>
      </c>
      <c r="B67" s="130" t="s">
        <v>160</v>
      </c>
      <c r="C67" s="51">
        <v>1</v>
      </c>
      <c r="D67" s="139" t="str">
        <f>_xlfn.IFNA(VLOOKUP(MID(_xlfn.XLOOKUP(C67,'Машины на заводе'!$B$3:$B$1000,'Машины на заводе'!$F$3:$F$1000,"",,-1),5,1),$CC$8:$CD$11,2,0),"")</f>
        <v>Самосвал</v>
      </c>
    </row>
    <row r="68" spans="1:10" ht="24.95" customHeight="1" thickBot="1" x14ac:dyDescent="0.25">
      <c r="A68" s="183"/>
      <c r="B68" s="130" t="s">
        <v>161</v>
      </c>
      <c r="C68" s="51">
        <v>1</v>
      </c>
      <c r="D68" s="139" t="str">
        <f>_xlfn.IFNA(VLOOKUP(MID(_xlfn.XLOOKUP(C68,'Машины на заводе'!$B$3:$B$1000,'Машины на заводе'!$F$3:$F$1000,"",,-1),5,1),$CC$8:$CD$11,2,0),"")</f>
        <v>Самосвал</v>
      </c>
    </row>
    <row r="69" spans="1:10" ht="24.95" customHeight="1" x14ac:dyDescent="0.2">
      <c r="A69" s="182" t="s">
        <v>303</v>
      </c>
      <c r="B69" s="129" t="s">
        <v>159</v>
      </c>
      <c r="C69" s="51">
        <v>1</v>
      </c>
      <c r="D69" s="139" t="str">
        <f>_xlfn.IFNA(VLOOKUP(MID(_xlfn.XLOOKUP(C69,'Машины на заводе'!$B$3:$B$1000,'Машины на заводе'!$F$3:$F$1000,"",,-1),5,1),$CC$8:$CD$11,2,0),"")</f>
        <v>Самосвал</v>
      </c>
    </row>
    <row r="70" spans="1:10" ht="24.95" customHeight="1" x14ac:dyDescent="0.2">
      <c r="A70" s="184"/>
      <c r="B70" s="129" t="s">
        <v>158</v>
      </c>
      <c r="C70" s="51">
        <v>1</v>
      </c>
      <c r="D70" s="139" t="str">
        <f>_xlfn.IFNA(VLOOKUP(MID(_xlfn.XLOOKUP(C70,'Машины на заводе'!$B$3:$B$1000,'Машины на заводе'!$F$3:$F$1000,"",,-1),5,1),$CC$8:$CD$11,2,0),"")</f>
        <v>Самосвал</v>
      </c>
    </row>
    <row r="71" spans="1:10" ht="24.95" customHeight="1" x14ac:dyDescent="0.2">
      <c r="A71" s="184"/>
      <c r="B71" s="129" t="s">
        <v>157</v>
      </c>
      <c r="C71" s="51">
        <v>1</v>
      </c>
      <c r="D71" s="139" t="str">
        <f>_xlfn.IFNA(VLOOKUP(MID(_xlfn.XLOOKUP(C71,'Машины на заводе'!$B$3:$B$1000,'Машины на заводе'!$F$3:$F$1000,"",,-1),5,1),$CC$8:$CD$11,2,0),"")</f>
        <v>Самосвал</v>
      </c>
    </row>
    <row r="72" spans="1:10" ht="24.95" customHeight="1" thickBot="1" x14ac:dyDescent="0.25">
      <c r="A72" s="183"/>
      <c r="B72" s="107" t="s">
        <v>15</v>
      </c>
      <c r="C72" s="51">
        <v>1</v>
      </c>
      <c r="D72" s="139" t="str">
        <f>_xlfn.IFNA(VLOOKUP(MID(_xlfn.XLOOKUP(C72,'Машины на заводе'!$B$3:$B$1000,'Машины на заводе'!$F$3:$F$1000,"",,-1),5,1),$CC$8:$CD$11,2,0),"")</f>
        <v>Самосвал</v>
      </c>
    </row>
    <row r="73" spans="1:10" ht="24.95" customHeight="1" x14ac:dyDescent="0.2">
      <c r="A73" s="162" t="s">
        <v>304</v>
      </c>
      <c r="B73" s="128" t="s">
        <v>299</v>
      </c>
      <c r="C73" s="51">
        <v>1</v>
      </c>
      <c r="D73" s="139" t="str">
        <f>_xlfn.IFNA(VLOOKUP(MID(_xlfn.XLOOKUP(C73,'Машины на заводе'!$B$3:$B$1000,'Машины на заводе'!$F$3:$F$1000,"",,-1),5,1),$CC$8:$CD$11,2,0),"")</f>
        <v>Самосвал</v>
      </c>
    </row>
    <row r="74" spans="1:10" ht="24.95" customHeight="1" x14ac:dyDescent="0.2">
      <c r="A74" s="163"/>
      <c r="B74" s="107" t="s">
        <v>153</v>
      </c>
      <c r="C74" s="51">
        <v>1</v>
      </c>
      <c r="D74" s="139" t="str">
        <f>_xlfn.IFNA(VLOOKUP(MID(_xlfn.XLOOKUP(C74,'Машины на заводе'!$B$3:$B$1000,'Машины на заводе'!$F$3:$F$1000,"",,-1),5,1),$CC$8:$CD$11,2,0),"")</f>
        <v>Самосвал</v>
      </c>
    </row>
    <row r="75" spans="1:10" ht="24.95" customHeight="1" x14ac:dyDescent="0.2">
      <c r="A75" s="163"/>
      <c r="B75" s="107" t="s">
        <v>154</v>
      </c>
      <c r="C75" s="51">
        <v>1</v>
      </c>
      <c r="D75" s="139" t="str">
        <f>_xlfn.IFNA(VLOOKUP(MID(_xlfn.XLOOKUP(C75,'Машины на заводе'!$B$3:$B$1000,'Машины на заводе'!$F$3:$F$1000,"",,-1),5,1),$CC$8:$CD$11,2,0),"")</f>
        <v>Самосвал</v>
      </c>
    </row>
    <row r="76" spans="1:10" ht="24.95" customHeight="1" x14ac:dyDescent="0.2">
      <c r="A76" s="163"/>
      <c r="B76" s="107" t="s">
        <v>297</v>
      </c>
      <c r="C76" s="51">
        <v>1</v>
      </c>
      <c r="D76" s="139" t="str">
        <f>_xlfn.IFNA(VLOOKUP(MID(_xlfn.XLOOKUP(C76,'Машины на заводе'!$B$3:$B$1000,'Машины на заводе'!$F$3:$F$1000,"",,-1),5,1),$CC$8:$CD$11,2,0),"")</f>
        <v>Самосвал</v>
      </c>
    </row>
    <row r="77" spans="1:10" ht="24.95" customHeight="1" x14ac:dyDescent="0.2">
      <c r="A77" s="163"/>
      <c r="B77" s="107" t="s">
        <v>298</v>
      </c>
      <c r="C77" s="51">
        <v>1</v>
      </c>
      <c r="D77" s="139" t="str">
        <f>_xlfn.IFNA(VLOOKUP(MID(_xlfn.XLOOKUP(C77,'Машины на заводе'!$B$3:$B$1000,'Машины на заводе'!$F$3:$F$1000,"",,-1),5,1),$CC$8:$CD$11,2,0),"")</f>
        <v>Самосвал</v>
      </c>
    </row>
    <row r="78" spans="1:10" ht="24.95" customHeight="1" thickBot="1" x14ac:dyDescent="0.25">
      <c r="A78" s="164"/>
      <c r="B78" s="107" t="s">
        <v>155</v>
      </c>
      <c r="C78" s="51">
        <v>1</v>
      </c>
      <c r="D78" s="139" t="str">
        <f>_xlfn.IFNA(VLOOKUP(MID(_xlfn.XLOOKUP(C78,'Машины на заводе'!$B$3:$B$1000,'Машины на заводе'!$F$3:$F$1000,"",,-1),5,1),$CC$8:$CD$11,2,0),"")</f>
        <v>Самосвал</v>
      </c>
    </row>
    <row r="79" spans="1:10" ht="24.95" customHeight="1" x14ac:dyDescent="0.2">
      <c r="A79" s="162" t="s">
        <v>335</v>
      </c>
      <c r="B79" s="107" t="s">
        <v>305</v>
      </c>
      <c r="C79" s="51">
        <v>1</v>
      </c>
      <c r="D79" s="139" t="str">
        <f>_xlfn.IFNA(VLOOKUP(MID(_xlfn.XLOOKUP(C79,'Машины на заводе'!$B$3:$B$1000,'Машины на заводе'!$F$3:$F$1000,"",,-1),5,1),$CC$8:$CD$11,2,0),"")</f>
        <v>Самосвал</v>
      </c>
    </row>
    <row r="80" spans="1:10" ht="24.95" customHeight="1" x14ac:dyDescent="0.2">
      <c r="A80" s="163"/>
      <c r="B80" s="107" t="s">
        <v>306</v>
      </c>
      <c r="C80" s="51">
        <v>1</v>
      </c>
      <c r="D80" s="139" t="str">
        <f>_xlfn.IFNA(VLOOKUP(MID(_xlfn.XLOOKUP(C80,'Машины на заводе'!$B$3:$B$1000,'Машины на заводе'!$F$3:$F$1000,"",,-1),5,1),$CC$8:$CD$11,2,0),"")</f>
        <v>Самосвал</v>
      </c>
    </row>
    <row r="81" spans="1:4" ht="24.95" customHeight="1" x14ac:dyDescent="0.2">
      <c r="A81" s="163"/>
      <c r="B81" s="107" t="s">
        <v>307</v>
      </c>
      <c r="C81" s="51">
        <v>1</v>
      </c>
      <c r="D81" s="139" t="str">
        <f>_xlfn.IFNA(VLOOKUP(MID(_xlfn.XLOOKUP(C81,'Машины на заводе'!$B$3:$B$1000,'Машины на заводе'!$F$3:$F$1000,"",,-1),5,1),$CC$8:$CD$11,2,0),"")</f>
        <v>Самосвал</v>
      </c>
    </row>
    <row r="82" spans="1:4" ht="24.95" customHeight="1" x14ac:dyDescent="0.2">
      <c r="A82" s="163"/>
      <c r="B82" s="107" t="s">
        <v>308</v>
      </c>
      <c r="C82" s="51">
        <v>1</v>
      </c>
      <c r="D82" s="139" t="str">
        <f>_xlfn.IFNA(VLOOKUP(MID(_xlfn.XLOOKUP(C82,'Машины на заводе'!$B$3:$B$1000,'Машины на заводе'!$F$3:$F$1000,"",,-1),5,1),$CC$8:$CD$11,2,0),"")</f>
        <v>Самосвал</v>
      </c>
    </row>
    <row r="83" spans="1:4" ht="24.95" customHeight="1" x14ac:dyDescent="0.2">
      <c r="A83" s="163"/>
      <c r="B83" s="107" t="s">
        <v>309</v>
      </c>
      <c r="C83" s="51">
        <v>1</v>
      </c>
      <c r="D83" s="139" t="str">
        <f>_xlfn.IFNA(VLOOKUP(MID(_xlfn.XLOOKUP(C83,'Машины на заводе'!$B$3:$B$1000,'Машины на заводе'!$F$3:$F$1000,"",,-1),5,1),$CC$8:$CD$11,2,0),"")</f>
        <v>Самосвал</v>
      </c>
    </row>
    <row r="84" spans="1:4" ht="24.95" customHeight="1" x14ac:dyDescent="0.2">
      <c r="A84" s="163"/>
      <c r="B84" s="107" t="s">
        <v>310</v>
      </c>
      <c r="C84" s="51">
        <v>1</v>
      </c>
      <c r="D84" s="139" t="str">
        <f>_xlfn.IFNA(VLOOKUP(MID(_xlfn.XLOOKUP(C84,'Машины на заводе'!$B$3:$B$1000,'Машины на заводе'!$F$3:$F$1000,"",,-1),5,1),$CC$8:$CD$11,2,0),"")</f>
        <v>Самосвал</v>
      </c>
    </row>
    <row r="85" spans="1:4" ht="24.95" customHeight="1" x14ac:dyDescent="0.2">
      <c r="A85" s="163"/>
      <c r="B85" s="107" t="s">
        <v>311</v>
      </c>
      <c r="C85" s="51">
        <v>1</v>
      </c>
      <c r="D85" s="139" t="str">
        <f>_xlfn.IFNA(VLOOKUP(MID(_xlfn.XLOOKUP(C85,'Машины на заводе'!$B$3:$B$1000,'Машины на заводе'!$F$3:$F$1000,"",,-1),5,1),$CC$8:$CD$11,2,0),"")</f>
        <v>Самосвал</v>
      </c>
    </row>
    <row r="86" spans="1:4" ht="24.95" customHeight="1" x14ac:dyDescent="0.2">
      <c r="A86" s="163"/>
      <c r="B86" s="107" t="s">
        <v>312</v>
      </c>
      <c r="C86" s="51">
        <v>1</v>
      </c>
      <c r="D86" s="139" t="str">
        <f>_xlfn.IFNA(VLOOKUP(MID(_xlfn.XLOOKUP(C86,'Машины на заводе'!$B$3:$B$1000,'Машины на заводе'!$F$3:$F$1000,"",,-1),5,1),$CC$8:$CD$11,2,0),"")</f>
        <v>Самосвал</v>
      </c>
    </row>
    <row r="87" spans="1:4" ht="24.95" customHeight="1" x14ac:dyDescent="0.2">
      <c r="A87" s="163"/>
      <c r="B87" s="107" t="s">
        <v>313</v>
      </c>
      <c r="C87" s="51">
        <v>1</v>
      </c>
      <c r="D87" s="139" t="str">
        <f>_xlfn.IFNA(VLOOKUP(MID(_xlfn.XLOOKUP(C87,'Машины на заводе'!$B$3:$B$1000,'Машины на заводе'!$F$3:$F$1000,"",,-1),5,1),$CC$8:$CD$11,2,0),"")</f>
        <v>Самосвал</v>
      </c>
    </row>
    <row r="88" spans="1:4" ht="24.95" customHeight="1" x14ac:dyDescent="0.2">
      <c r="A88" s="163"/>
      <c r="B88" s="107" t="s">
        <v>314</v>
      </c>
      <c r="C88" s="51">
        <v>1</v>
      </c>
      <c r="D88" s="139" t="str">
        <f>_xlfn.IFNA(VLOOKUP(MID(_xlfn.XLOOKUP(C88,'Машины на заводе'!$B$3:$B$1000,'Машины на заводе'!$F$3:$F$1000,"",,-1),5,1),$CC$8:$CD$11,2,0),"")</f>
        <v>Самосвал</v>
      </c>
    </row>
    <row r="89" spans="1:4" ht="24.95" customHeight="1" x14ac:dyDescent="0.2">
      <c r="A89" s="163"/>
      <c r="B89" s="107" t="s">
        <v>315</v>
      </c>
      <c r="C89" s="51">
        <v>1</v>
      </c>
      <c r="D89" s="139" t="str">
        <f>_xlfn.IFNA(VLOOKUP(MID(_xlfn.XLOOKUP(C89,'Машины на заводе'!$B$3:$B$1000,'Машины на заводе'!$F$3:$F$1000,"",,-1),5,1),$CC$8:$CD$11,2,0),"")</f>
        <v>Самосвал</v>
      </c>
    </row>
    <row r="90" spans="1:4" ht="24.95" customHeight="1" x14ac:dyDescent="0.2">
      <c r="A90" s="163"/>
      <c r="B90" s="107" t="s">
        <v>316</v>
      </c>
      <c r="C90" s="51">
        <v>1</v>
      </c>
      <c r="D90" s="139" t="str">
        <f>_xlfn.IFNA(VLOOKUP(MID(_xlfn.XLOOKUP(C90,'Машины на заводе'!$B$3:$B$1000,'Машины на заводе'!$F$3:$F$1000,"",,-1),5,1),$CC$8:$CD$11,2,0),"")</f>
        <v>Самосвал</v>
      </c>
    </row>
    <row r="91" spans="1:4" ht="24.95" customHeight="1" x14ac:dyDescent="0.2">
      <c r="A91" s="163"/>
      <c r="B91" s="107" t="s">
        <v>317</v>
      </c>
      <c r="C91" s="51">
        <v>1</v>
      </c>
      <c r="D91" s="139" t="str">
        <f>_xlfn.IFNA(VLOOKUP(MID(_xlfn.XLOOKUP(C91,'Машины на заводе'!$B$3:$B$1000,'Машины на заводе'!$F$3:$F$1000,"",,-1),5,1),$CC$8:$CD$11,2,0),"")</f>
        <v>Самосвал</v>
      </c>
    </row>
    <row r="92" spans="1:4" ht="24.95" customHeight="1" x14ac:dyDescent="0.2">
      <c r="A92" s="163"/>
      <c r="B92" s="107" t="s">
        <v>318</v>
      </c>
      <c r="C92" s="51">
        <v>1</v>
      </c>
      <c r="D92" s="139" t="str">
        <f>_xlfn.IFNA(VLOOKUP(MID(_xlfn.XLOOKUP(C92,'Машины на заводе'!$B$3:$B$1000,'Машины на заводе'!$F$3:$F$1000,"",,-1),5,1),$CC$8:$CD$11,2,0),"")</f>
        <v>Самосвал</v>
      </c>
    </row>
    <row r="93" spans="1:4" ht="24.95" customHeight="1" x14ac:dyDescent="0.2">
      <c r="A93" s="163"/>
      <c r="B93" s="107" t="s">
        <v>319</v>
      </c>
      <c r="C93" s="51">
        <v>1</v>
      </c>
      <c r="D93" s="139" t="str">
        <f>_xlfn.IFNA(VLOOKUP(MID(_xlfn.XLOOKUP(C93,'Машины на заводе'!$B$3:$B$1000,'Машины на заводе'!$F$3:$F$1000,"",,-1),5,1),$CC$8:$CD$11,2,0),"")</f>
        <v>Самосвал</v>
      </c>
    </row>
    <row r="94" spans="1:4" ht="24.95" customHeight="1" x14ac:dyDescent="0.2">
      <c r="A94" s="163"/>
      <c r="B94" s="107" t="s">
        <v>320</v>
      </c>
      <c r="C94" s="51">
        <v>1</v>
      </c>
      <c r="D94" s="139" t="str">
        <f>_xlfn.IFNA(VLOOKUP(MID(_xlfn.XLOOKUP(C94,'Машины на заводе'!$B$3:$B$1000,'Машины на заводе'!$F$3:$F$1000,"",,-1),5,1),$CC$8:$CD$11,2,0),"")</f>
        <v>Самосвал</v>
      </c>
    </row>
    <row r="95" spans="1:4" ht="24.95" customHeight="1" x14ac:dyDescent="0.2">
      <c r="A95" s="163"/>
      <c r="B95" s="107" t="s">
        <v>321</v>
      </c>
      <c r="C95" s="51">
        <v>1</v>
      </c>
      <c r="D95" s="139" t="str">
        <f>_xlfn.IFNA(VLOOKUP(MID(_xlfn.XLOOKUP(C95,'Машины на заводе'!$B$3:$B$1000,'Машины на заводе'!$F$3:$F$1000,"",,-1),5,1),$CC$8:$CD$11,2,0),"")</f>
        <v>Самосвал</v>
      </c>
    </row>
    <row r="96" spans="1:4" ht="24.95" customHeight="1" x14ac:dyDescent="0.2">
      <c r="A96" s="163"/>
      <c r="B96" s="107" t="s">
        <v>322</v>
      </c>
      <c r="C96" s="51">
        <v>1</v>
      </c>
      <c r="D96" s="139" t="str">
        <f>_xlfn.IFNA(VLOOKUP(MID(_xlfn.XLOOKUP(C96,'Машины на заводе'!$B$3:$B$1000,'Машины на заводе'!$F$3:$F$1000,"",,-1),5,1),$CC$8:$CD$11,2,0),"")</f>
        <v>Самосвал</v>
      </c>
    </row>
    <row r="97" spans="1:4" ht="24.95" customHeight="1" x14ac:dyDescent="0.2">
      <c r="A97" s="163"/>
      <c r="B97" s="107" t="s">
        <v>323</v>
      </c>
      <c r="C97" s="51">
        <v>1</v>
      </c>
      <c r="D97" s="139" t="str">
        <f>_xlfn.IFNA(VLOOKUP(MID(_xlfn.XLOOKUP(C97,'Машины на заводе'!$B$3:$B$1000,'Машины на заводе'!$F$3:$F$1000,"",,-1),5,1),$CC$8:$CD$11,2,0),"")</f>
        <v>Самосвал</v>
      </c>
    </row>
    <row r="98" spans="1:4" ht="24.95" customHeight="1" x14ac:dyDescent="0.2">
      <c r="A98" s="163"/>
      <c r="B98" s="107" t="s">
        <v>324</v>
      </c>
      <c r="C98" s="51">
        <v>1</v>
      </c>
      <c r="D98" s="139" t="str">
        <f>_xlfn.IFNA(VLOOKUP(MID(_xlfn.XLOOKUP(C98,'Машины на заводе'!$B$3:$B$1000,'Машины на заводе'!$F$3:$F$1000,"",,-1),5,1),$CC$8:$CD$11,2,0),"")</f>
        <v>Самосвал</v>
      </c>
    </row>
    <row r="99" spans="1:4" ht="24.95" customHeight="1" x14ac:dyDescent="0.2">
      <c r="A99" s="163"/>
      <c r="B99" s="107" t="s">
        <v>325</v>
      </c>
      <c r="C99" s="51">
        <v>1</v>
      </c>
      <c r="D99" s="139" t="str">
        <f>_xlfn.IFNA(VLOOKUP(MID(_xlfn.XLOOKUP(C99,'Машины на заводе'!$B$3:$B$1000,'Машины на заводе'!$F$3:$F$1000,"",,-1),5,1),$CC$8:$CD$11,2,0),"")</f>
        <v>Самосвал</v>
      </c>
    </row>
    <row r="100" spans="1:4" ht="24.95" customHeight="1" x14ac:dyDescent="0.2">
      <c r="A100" s="163"/>
      <c r="B100" s="107" t="s">
        <v>326</v>
      </c>
      <c r="C100" s="51">
        <v>1</v>
      </c>
      <c r="D100" s="139" t="str">
        <f>_xlfn.IFNA(VLOOKUP(MID(_xlfn.XLOOKUP(C100,'Машины на заводе'!$B$3:$B$1000,'Машины на заводе'!$F$3:$F$1000,"",,-1),5,1),$CC$8:$CD$11,2,0),"")</f>
        <v>Самосвал</v>
      </c>
    </row>
    <row r="101" spans="1:4" ht="24.95" customHeight="1" x14ac:dyDescent="0.2">
      <c r="A101" s="163"/>
      <c r="B101" s="107" t="s">
        <v>327</v>
      </c>
      <c r="C101" s="51">
        <v>1</v>
      </c>
      <c r="D101" s="139" t="str">
        <f>_xlfn.IFNA(VLOOKUP(MID(_xlfn.XLOOKUP(C101,'Машины на заводе'!$B$3:$B$1000,'Машины на заводе'!$F$3:$F$1000,"",,-1),5,1),$CC$8:$CD$11,2,0),"")</f>
        <v>Самосвал</v>
      </c>
    </row>
    <row r="102" spans="1:4" ht="24.95" customHeight="1" x14ac:dyDescent="0.2">
      <c r="A102" s="163"/>
      <c r="B102" s="107" t="s">
        <v>328</v>
      </c>
      <c r="C102" s="51">
        <v>1</v>
      </c>
      <c r="D102" s="139" t="str">
        <f>_xlfn.IFNA(VLOOKUP(MID(_xlfn.XLOOKUP(C102,'Машины на заводе'!$B$3:$B$1000,'Машины на заводе'!$F$3:$F$1000,"",,-1),5,1),$CC$8:$CD$11,2,0),"")</f>
        <v>Самосвал</v>
      </c>
    </row>
    <row r="103" spans="1:4" ht="24.95" customHeight="1" x14ac:dyDescent="0.2">
      <c r="A103" s="163"/>
      <c r="B103" s="107" t="s">
        <v>329</v>
      </c>
      <c r="C103" s="51">
        <v>1</v>
      </c>
      <c r="D103" s="139" t="str">
        <f>_xlfn.IFNA(VLOOKUP(MID(_xlfn.XLOOKUP(C103,'Машины на заводе'!$B$3:$B$1000,'Машины на заводе'!$F$3:$F$1000,"",,-1),5,1),$CC$8:$CD$11,2,0),"")</f>
        <v>Самосвал</v>
      </c>
    </row>
    <row r="104" spans="1:4" ht="24.95" customHeight="1" x14ac:dyDescent="0.2">
      <c r="A104" s="163"/>
      <c r="B104" s="107" t="s">
        <v>330</v>
      </c>
      <c r="C104" s="51">
        <v>1</v>
      </c>
      <c r="D104" s="139" t="str">
        <f>_xlfn.IFNA(VLOOKUP(MID(_xlfn.XLOOKUP(C104,'Машины на заводе'!$B$3:$B$1000,'Машины на заводе'!$F$3:$F$1000,"",,-1),5,1),$CC$8:$CD$11,2,0),"")</f>
        <v>Самосвал</v>
      </c>
    </row>
    <row r="105" spans="1:4" ht="24.95" customHeight="1" x14ac:dyDescent="0.2">
      <c r="A105" s="163"/>
      <c r="B105" s="107" t="s">
        <v>331</v>
      </c>
      <c r="C105" s="51">
        <v>1</v>
      </c>
      <c r="D105" s="139" t="str">
        <f>_xlfn.IFNA(VLOOKUP(MID(_xlfn.XLOOKUP(C105,'Машины на заводе'!$B$3:$B$1000,'Машины на заводе'!$F$3:$F$1000,"",,-1),5,1),$CC$8:$CD$11,2,0),"")</f>
        <v>Самосвал</v>
      </c>
    </row>
    <row r="106" spans="1:4" ht="24.95" customHeight="1" x14ac:dyDescent="0.2">
      <c r="A106" s="163"/>
      <c r="B106" s="107" t="s">
        <v>332</v>
      </c>
      <c r="C106" s="51">
        <v>1</v>
      </c>
      <c r="D106" s="139" t="str">
        <f>_xlfn.IFNA(VLOOKUP(MID(_xlfn.XLOOKUP(C106,'Машины на заводе'!$B$3:$B$1000,'Машины на заводе'!$F$3:$F$1000,"",,-1),5,1),$CC$8:$CD$11,2,0),"")</f>
        <v>Самосвал</v>
      </c>
    </row>
    <row r="107" spans="1:4" ht="24.95" customHeight="1" x14ac:dyDescent="0.2">
      <c r="A107" s="163"/>
      <c r="B107" s="107" t="s">
        <v>333</v>
      </c>
      <c r="C107" s="51">
        <v>1</v>
      </c>
      <c r="D107" s="139" t="str">
        <f>_xlfn.IFNA(VLOOKUP(MID(_xlfn.XLOOKUP(C107,'Машины на заводе'!$B$3:$B$1000,'Машины на заводе'!$F$3:$F$1000,"",,-1),5,1),$CC$8:$CD$11,2,0),"")</f>
        <v>Самосвал</v>
      </c>
    </row>
    <row r="108" spans="1:4" ht="24.95" customHeight="1" thickBot="1" x14ac:dyDescent="0.25">
      <c r="A108" s="164"/>
      <c r="B108" s="107" t="s">
        <v>334</v>
      </c>
      <c r="C108" s="51">
        <v>1</v>
      </c>
      <c r="D108" s="139" t="str">
        <f>_xlfn.IFNA(VLOOKUP(MID(_xlfn.XLOOKUP(C108,'Машины на заводе'!$B$3:$B$1000,'Машины на заводе'!$F$3:$F$1000,"",,-1),5,1),$CC$8:$CD$11,2,0),"")</f>
        <v>Самосвал</v>
      </c>
    </row>
  </sheetData>
  <mergeCells count="135">
    <mergeCell ref="AD1:AF1"/>
    <mergeCell ref="BR31:BS31"/>
    <mergeCell ref="BS3:BS6"/>
    <mergeCell ref="BV3:BV6"/>
    <mergeCell ref="BY3:BY6"/>
    <mergeCell ref="BV11:BV14"/>
    <mergeCell ref="BV15:BV18"/>
    <mergeCell ref="BU30:BV30"/>
    <mergeCell ref="BU31:BV31"/>
    <mergeCell ref="BX30:BY30"/>
    <mergeCell ref="BX31:BY31"/>
    <mergeCell ref="BR26:BS26"/>
    <mergeCell ref="BR27:BS27"/>
    <mergeCell ref="BR28:BS28"/>
    <mergeCell ref="BR29:BS29"/>
    <mergeCell ref="BR30:BS30"/>
    <mergeCell ref="BM3:BM6"/>
    <mergeCell ref="BP3:BP6"/>
    <mergeCell ref="BP13:BP16"/>
    <mergeCell ref="BR24:BS24"/>
    <mergeCell ref="BR25:BS25"/>
    <mergeCell ref="BX3:BX6"/>
    <mergeCell ref="Q2:AD2"/>
    <mergeCell ref="Q3:R3"/>
    <mergeCell ref="Q26:R26"/>
    <mergeCell ref="Q27:R27"/>
    <mergeCell ref="Q28:R28"/>
    <mergeCell ref="Q29:R29"/>
    <mergeCell ref="BJ3:BJ6"/>
    <mergeCell ref="BJ15:BJ18"/>
    <mergeCell ref="L38:N39"/>
    <mergeCell ref="BR3:BR6"/>
    <mergeCell ref="BO3:BO6"/>
    <mergeCell ref="BL3:BL6"/>
    <mergeCell ref="BI3:BI6"/>
    <mergeCell ref="T24:U24"/>
    <mergeCell ref="T25:U25"/>
    <mergeCell ref="T30:U30"/>
    <mergeCell ref="T31:U31"/>
    <mergeCell ref="U19:U22"/>
    <mergeCell ref="T3:U3"/>
    <mergeCell ref="T4:U4"/>
    <mergeCell ref="T5:U5"/>
    <mergeCell ref="T6:U6"/>
    <mergeCell ref="T7:U7"/>
    <mergeCell ref="W3:X3"/>
    <mergeCell ref="L3:N4"/>
    <mergeCell ref="L5:N6"/>
    <mergeCell ref="Q4:R4"/>
    <mergeCell ref="Q5:R5"/>
    <mergeCell ref="L8:N9"/>
    <mergeCell ref="L10:N11"/>
    <mergeCell ref="L13:N14"/>
    <mergeCell ref="L15:N16"/>
    <mergeCell ref="L18:N19"/>
    <mergeCell ref="W13:W16"/>
    <mergeCell ref="Q19:Q22"/>
    <mergeCell ref="T19:T22"/>
    <mergeCell ref="W19:W22"/>
    <mergeCell ref="Q6:R6"/>
    <mergeCell ref="Q7:R7"/>
    <mergeCell ref="R19:R22"/>
    <mergeCell ref="BU3:BU6"/>
    <mergeCell ref="BI15:BI18"/>
    <mergeCell ref="BO13:BO16"/>
    <mergeCell ref="BU11:BU14"/>
    <mergeCell ref="AX22:BD22"/>
    <mergeCell ref="AV11:AX11"/>
    <mergeCell ref="AV12:AX12"/>
    <mergeCell ref="AZ11:BB11"/>
    <mergeCell ref="AZ12:BB12"/>
    <mergeCell ref="BD11:BF11"/>
    <mergeCell ref="BD12:BF12"/>
    <mergeCell ref="BU15:BU18"/>
    <mergeCell ref="AZ17:BB17"/>
    <mergeCell ref="AZ18:BB18"/>
    <mergeCell ref="BD17:BF17"/>
    <mergeCell ref="BD18:BF18"/>
    <mergeCell ref="A73:A78"/>
    <mergeCell ref="Q1:T1"/>
    <mergeCell ref="U1:AB1"/>
    <mergeCell ref="AN11:AP11"/>
    <mergeCell ref="AN12:AP12"/>
    <mergeCell ref="AR11:AT11"/>
    <mergeCell ref="AL10:AT10"/>
    <mergeCell ref="AL16:AT16"/>
    <mergeCell ref="AR12:AT12"/>
    <mergeCell ref="AB11:AD11"/>
    <mergeCell ref="AB12:AD12"/>
    <mergeCell ref="AF11:AH11"/>
    <mergeCell ref="AF12:AH12"/>
    <mergeCell ref="AJ11:AL11"/>
    <mergeCell ref="AJ12:AL12"/>
    <mergeCell ref="L33:N34"/>
    <mergeCell ref="W4:X4"/>
    <mergeCell ref="W5:X5"/>
    <mergeCell ref="W6:X6"/>
    <mergeCell ref="W7:X7"/>
    <mergeCell ref="W24:X24"/>
    <mergeCell ref="W25:X25"/>
    <mergeCell ref="X19:X22"/>
    <mergeCell ref="X13:X16"/>
    <mergeCell ref="F1:J1"/>
    <mergeCell ref="F40:J40"/>
    <mergeCell ref="A2:A7"/>
    <mergeCell ref="A8:A35"/>
    <mergeCell ref="A36:A46"/>
    <mergeCell ref="A47:A66"/>
    <mergeCell ref="A67:A68"/>
    <mergeCell ref="A69:A72"/>
    <mergeCell ref="L35:N36"/>
    <mergeCell ref="A79:A108"/>
    <mergeCell ref="AV17:AX17"/>
    <mergeCell ref="AV18:AX18"/>
    <mergeCell ref="AB17:AD17"/>
    <mergeCell ref="AB18:AD18"/>
    <mergeCell ref="AF17:AH17"/>
    <mergeCell ref="AF18:AH18"/>
    <mergeCell ref="AJ17:AL17"/>
    <mergeCell ref="AJ18:AL18"/>
    <mergeCell ref="F55:J55"/>
    <mergeCell ref="AN17:AP17"/>
    <mergeCell ref="AN18:AP18"/>
    <mergeCell ref="AR17:AT17"/>
    <mergeCell ref="AR18:AT18"/>
    <mergeCell ref="T29:W29"/>
    <mergeCell ref="T27:W27"/>
    <mergeCell ref="AF28:AH29"/>
    <mergeCell ref="AL28:AN29"/>
    <mergeCell ref="L40:N41"/>
    <mergeCell ref="L20:N21"/>
    <mergeCell ref="L23:N24"/>
    <mergeCell ref="L25:N26"/>
    <mergeCell ref="L28:N29"/>
    <mergeCell ref="L30:N31"/>
  </mergeCells>
  <phoneticPr fontId="1" type="noConversion"/>
  <conditionalFormatting sqref="C2:C108">
    <cfRule type="duplicateValues" dxfId="33" priority="166"/>
  </conditionalFormatting>
  <conditionalFormatting sqref="L10 T30:T31">
    <cfRule type="expression" dxfId="32" priority="152">
      <formula>$L$10="Да"</formula>
    </cfRule>
    <cfRule type="expression" dxfId="31" priority="153">
      <formula>$L$10="Нет"</formula>
    </cfRule>
  </conditionalFormatting>
  <conditionalFormatting sqref="L20 AT24:AT25 AV24:AV25 AX24:AX25 AZ24:AZ25 BB24:BB25 BD24:BD25 BF24:BF25 BH24:BH25">
    <cfRule type="expression" dxfId="30" priority="148">
      <formula>$L$20="Да"</formula>
    </cfRule>
    <cfRule type="expression" dxfId="29" priority="149">
      <formula>$L$20="Нет"</formula>
    </cfRule>
  </conditionalFormatting>
  <conditionalFormatting sqref="L25 BD17:BF18 AZ17:BB18 AV17:AX18 AR17:AT18 AN17:AP18 AJ17:AL18 AF17:AH18 AB17:AD18 AB11:AD12 AF11:AH12 AJ11:AL12 AN11:AP12 AR11:AT12 AV11:AX12 AZ11:BB12 BD11:BF12">
    <cfRule type="expression" dxfId="28" priority="146">
      <formula>$L$25="Да"</formula>
    </cfRule>
    <cfRule type="expression" dxfId="27" priority="147">
      <formula>$L$25="Нет"</formula>
    </cfRule>
  </conditionalFormatting>
  <conditionalFormatting sqref="L35:N36 AB15">
    <cfRule type="expression" dxfId="26" priority="22">
      <formula>$L$35="Нет"</formula>
    </cfRule>
    <cfRule type="expression" dxfId="25" priority="23">
      <formula>$L$35="Да"</formula>
    </cfRule>
  </conditionalFormatting>
  <conditionalFormatting sqref="L15:N16 Z24:Z25 AB24:AB25 AD24:AD25 AF23:AF26 AH23:AH26 AJ23:AJ26 AL23:AL26 AN23:AN26 AP24:AP25 AR24:AR25 T24:T25 W24:X25">
    <cfRule type="expression" dxfId="24" priority="24">
      <formula>$L$15="Да"</formula>
    </cfRule>
    <cfRule type="expression" dxfId="23" priority="150">
      <formula>$L$15="Нет"</formula>
    </cfRule>
  </conditionalFormatting>
  <conditionalFormatting sqref="L40 BI15:BJ18 BU11:BV18">
    <cfRule type="expression" dxfId="22" priority="140">
      <formula>$L$40="Да"</formula>
    </cfRule>
    <cfRule type="expression" dxfId="21" priority="141">
      <formula>$L$40="Нет"</formula>
    </cfRule>
  </conditionalFormatting>
  <conditionalFormatting sqref="L30 T19:U22 W19:X22">
    <cfRule type="expression" dxfId="20" priority="144">
      <formula>$L$30="Да"</formula>
    </cfRule>
    <cfRule type="expression" dxfId="19" priority="145">
      <formula>$L$30="Нет"</formula>
    </cfRule>
  </conditionalFormatting>
  <conditionalFormatting sqref="L5 BR24:BS31 BU30:BV31 BX30:BY31">
    <cfRule type="expression" dxfId="18" priority="154">
      <formula>$L$5="Да"</formula>
    </cfRule>
    <cfRule type="expression" dxfId="17" priority="155">
      <formula>$L$5="Нет"</formula>
    </cfRule>
  </conditionalFormatting>
  <pageMargins left="0.31496062992125984" right="0.31496062992125984" top="0.74803149606299213" bottom="0.74803149606299213" header="0.31496062992125984" footer="0.31496062992125984"/>
  <pageSetup paperSize="9" scale="5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44C4F-DAF5-4AF7-B84E-5400E00F407A}">
  <sheetPr codeName="Лист4"/>
  <dimension ref="A1:BS94"/>
  <sheetViews>
    <sheetView view="pageBreakPreview" zoomScale="55" zoomScaleNormal="55" zoomScaleSheetLayoutView="55" workbookViewId="0">
      <selection activeCell="R19" sqref="R19:T20"/>
    </sheetView>
  </sheetViews>
  <sheetFormatPr defaultRowHeight="24.95" customHeight="1" x14ac:dyDescent="0.2"/>
  <cols>
    <col min="1" max="1" width="36" style="47" customWidth="1"/>
    <col min="2" max="3" width="13" style="27" customWidth="1"/>
    <col min="4" max="4" width="12.7109375" style="27" customWidth="1"/>
    <col min="5" max="5" width="12" style="27" customWidth="1"/>
    <col min="6" max="8" width="10.140625" style="27" customWidth="1"/>
    <col min="9" max="9" width="13.85546875" style="27" customWidth="1"/>
    <col min="10" max="10" width="1.85546875" style="27" customWidth="1"/>
    <col min="11" max="14" width="5.7109375" style="29" customWidth="1"/>
    <col min="15" max="15" width="9.42578125" style="29" customWidth="1"/>
    <col min="16" max="18" width="5.7109375" style="29" customWidth="1"/>
    <col min="19" max="19" width="3.28515625" style="29" customWidth="1"/>
    <col min="20" max="20" width="3.7109375" style="29" customWidth="1"/>
    <col min="21" max="21" width="0.85546875" style="29" customWidth="1"/>
    <col min="22" max="22" width="7.42578125" style="29" customWidth="1"/>
    <col min="23" max="23" width="6.7109375" style="29" customWidth="1"/>
    <col min="24" max="24" width="0.85546875" style="29" customWidth="1"/>
    <col min="25" max="27" width="5.7109375" style="29" customWidth="1"/>
    <col min="28" max="28" width="0.85546875" style="29" customWidth="1"/>
    <col min="29" max="31" width="5.7109375" style="29" customWidth="1"/>
    <col min="32" max="32" width="0.85546875" style="29" customWidth="1"/>
    <col min="33" max="35" width="5.7109375" style="29" customWidth="1"/>
    <col min="36" max="36" width="0.85546875" style="29" customWidth="1"/>
    <col min="37" max="39" width="5.7109375" style="29" customWidth="1"/>
    <col min="40" max="40" width="0.85546875" style="29" customWidth="1"/>
    <col min="41" max="43" width="5.7109375" style="29" customWidth="1"/>
    <col min="44" max="44" width="0.85546875" style="29" customWidth="1"/>
    <col min="45" max="47" width="5.7109375" style="29" customWidth="1"/>
    <col min="48" max="48" width="0.85546875" style="29" customWidth="1"/>
    <col min="49" max="55" width="5.7109375" style="29" customWidth="1"/>
    <col min="56" max="56" width="4.7109375" style="29" customWidth="1"/>
    <col min="57" max="57" width="0.85546875" style="29" customWidth="1"/>
    <col min="58" max="59" width="5.7109375" style="29" customWidth="1"/>
    <col min="60" max="60" width="0.85546875" style="29" customWidth="1"/>
    <col min="61" max="62" width="5.7109375" style="29" customWidth="1"/>
    <col min="63" max="63" width="0.85546875" style="29" customWidth="1"/>
    <col min="64" max="65" width="5.7109375" style="29" customWidth="1"/>
    <col min="66" max="66" width="8.7109375" style="29" customWidth="1"/>
    <col min="67" max="67" width="9.140625" style="27"/>
    <col min="68" max="68" width="17.7109375" style="27" bestFit="1" customWidth="1"/>
    <col min="69" max="16384" width="9.140625" style="27"/>
  </cols>
  <sheetData>
    <row r="1" spans="1:70" ht="5.0999999999999996" customHeight="1" x14ac:dyDescent="0.2">
      <c r="J1" s="35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312" t="s">
        <v>110</v>
      </c>
      <c r="AF1" s="312"/>
      <c r="AG1" s="312"/>
      <c r="AH1" s="312"/>
      <c r="AI1" s="312"/>
      <c r="AJ1" s="312"/>
      <c r="AK1" s="312"/>
      <c r="AL1" s="312"/>
      <c r="AM1" s="312"/>
      <c r="AN1" s="312"/>
      <c r="AO1" s="312"/>
      <c r="AP1" s="312"/>
      <c r="AQ1" s="312"/>
      <c r="AR1" s="312"/>
      <c r="AS1" s="312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5"/>
      <c r="BN1" s="25"/>
    </row>
    <row r="2" spans="1:70" ht="24.95" customHeight="1" x14ac:dyDescent="0.2">
      <c r="A2" s="54" t="s">
        <v>233</v>
      </c>
      <c r="B2" s="57">
        <v>40</v>
      </c>
      <c r="C2" s="57">
        <v>20</v>
      </c>
      <c r="D2" s="59" t="s">
        <v>247</v>
      </c>
      <c r="J2" s="35"/>
      <c r="K2" s="313" t="s">
        <v>112</v>
      </c>
      <c r="L2" s="313"/>
      <c r="M2" s="314">
        <f ca="1">TODAY()</f>
        <v>45839</v>
      </c>
      <c r="N2" s="314"/>
      <c r="O2" s="314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312"/>
      <c r="AF2" s="312"/>
      <c r="AG2" s="312"/>
      <c r="AH2" s="312"/>
      <c r="AI2" s="312"/>
      <c r="AJ2" s="312"/>
      <c r="AK2" s="312"/>
      <c r="AL2" s="312"/>
      <c r="AM2" s="312"/>
      <c r="AN2" s="312"/>
      <c r="AO2" s="312"/>
      <c r="AP2" s="312"/>
      <c r="AQ2" s="312"/>
      <c r="AR2" s="312"/>
      <c r="AS2" s="312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8"/>
      <c r="BF2" s="219" t="s">
        <v>267</v>
      </c>
      <c r="BG2" s="219"/>
      <c r="BH2" s="25"/>
      <c r="BI2" s="219" t="s">
        <v>261</v>
      </c>
      <c r="BJ2" s="219"/>
      <c r="BK2" s="25"/>
      <c r="BL2" s="219" t="s">
        <v>262</v>
      </c>
      <c r="BM2" s="219"/>
      <c r="BN2" s="25"/>
      <c r="BP2" s="77"/>
    </row>
    <row r="3" spans="1:70" ht="24.95" customHeight="1" x14ac:dyDescent="0.2">
      <c r="A3" s="54" t="s">
        <v>234</v>
      </c>
      <c r="B3" s="56" t="s">
        <v>230</v>
      </c>
      <c r="C3" s="57">
        <v>20</v>
      </c>
      <c r="D3" s="59" t="s">
        <v>235</v>
      </c>
      <c r="J3" s="35"/>
      <c r="K3" s="313" t="s">
        <v>249</v>
      </c>
      <c r="L3" s="313"/>
      <c r="M3" s="313"/>
      <c r="N3" s="313"/>
      <c r="O3" s="313"/>
      <c r="P3" s="61"/>
      <c r="Q3" s="61"/>
      <c r="R3" s="61"/>
      <c r="S3" s="61"/>
      <c r="T3" s="26"/>
      <c r="U3" s="26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8"/>
      <c r="BF3" s="219"/>
      <c r="BG3" s="219"/>
      <c r="BH3" s="25"/>
      <c r="BI3" s="219"/>
      <c r="BJ3" s="219"/>
      <c r="BK3" s="25"/>
      <c r="BL3" s="219"/>
      <c r="BM3" s="219"/>
      <c r="BN3" s="25"/>
      <c r="BP3" s="78"/>
    </row>
    <row r="4" spans="1:70" ht="24.95" customHeight="1" x14ac:dyDescent="0.2">
      <c r="A4" s="48" t="s">
        <v>221</v>
      </c>
      <c r="B4" s="48" t="s">
        <v>229</v>
      </c>
      <c r="C4" s="48" t="s">
        <v>222</v>
      </c>
      <c r="D4" s="52" t="s">
        <v>231</v>
      </c>
      <c r="F4" s="213" t="s">
        <v>236</v>
      </c>
      <c r="G4" s="213"/>
      <c r="H4" s="213"/>
      <c r="J4" s="35"/>
      <c r="K4" s="305" t="s">
        <v>250</v>
      </c>
      <c r="L4" s="305"/>
      <c r="M4" s="305" t="s">
        <v>107</v>
      </c>
      <c r="N4" s="305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41" t="s">
        <v>152</v>
      </c>
      <c r="AD4" s="241"/>
      <c r="AE4" s="241"/>
      <c r="AF4" s="241"/>
      <c r="AG4" s="241"/>
      <c r="AH4" s="241"/>
      <c r="AI4" s="241"/>
      <c r="AJ4" s="241"/>
      <c r="AK4" s="241"/>
      <c r="AL4" s="241"/>
      <c r="AM4" s="241"/>
      <c r="AN4" s="241"/>
      <c r="AO4" s="241"/>
      <c r="AP4" s="28"/>
      <c r="AQ4" s="28"/>
      <c r="AR4" s="28"/>
      <c r="AS4" s="28"/>
      <c r="AT4" s="28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8"/>
      <c r="BF4" s="219"/>
      <c r="BG4" s="219"/>
      <c r="BH4" s="25"/>
      <c r="BI4" s="219"/>
      <c r="BJ4" s="219"/>
      <c r="BK4" s="25"/>
      <c r="BL4" s="219"/>
      <c r="BM4" s="219"/>
      <c r="BN4" s="25"/>
      <c r="BP4" s="77"/>
    </row>
    <row r="5" spans="1:70" ht="24.95" hidden="1" customHeight="1" x14ac:dyDescent="0.2">
      <c r="A5" s="49" t="s">
        <v>217</v>
      </c>
      <c r="B5" s="51">
        <f>IF(D5="+",B2,"")</f>
        <v>40</v>
      </c>
      <c r="C5" s="56" t="s">
        <v>230</v>
      </c>
      <c r="D5" s="53" t="s">
        <v>232</v>
      </c>
      <c r="F5" s="213"/>
      <c r="G5" s="213"/>
      <c r="H5" s="213"/>
      <c r="J5" s="35"/>
      <c r="K5" s="62"/>
      <c r="L5" s="62"/>
      <c r="M5" s="62"/>
      <c r="N5" s="62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19"/>
      <c r="BG5" s="219"/>
      <c r="BH5" s="25"/>
      <c r="BI5" s="219"/>
      <c r="BJ5" s="219"/>
      <c r="BK5" s="25"/>
      <c r="BL5" s="219"/>
      <c r="BM5" s="219"/>
      <c r="BN5" s="25"/>
      <c r="BP5" s="77"/>
    </row>
    <row r="6" spans="1:70" ht="30" customHeight="1" x14ac:dyDescent="0.2">
      <c r="A6" s="49" t="s">
        <v>216</v>
      </c>
      <c r="B6" s="51">
        <f>IF(D6="+",$B$2-COUNTIF($B$4:B5,"&gt;"&amp;0),"")</f>
        <v>39</v>
      </c>
      <c r="C6" s="56" t="s">
        <v>230</v>
      </c>
      <c r="D6" s="53" t="s">
        <v>232</v>
      </c>
      <c r="F6" s="175" t="s">
        <v>238</v>
      </c>
      <c r="G6" s="175"/>
      <c r="H6" s="175"/>
      <c r="J6" s="35"/>
      <c r="K6" s="304">
        <v>0.375</v>
      </c>
      <c r="L6" s="304"/>
      <c r="M6" s="306">
        <v>0.5</v>
      </c>
      <c r="N6" s="307"/>
      <c r="O6" s="28"/>
      <c r="P6" s="30"/>
      <c r="Q6" s="30"/>
      <c r="R6" s="28"/>
      <c r="S6" s="28"/>
      <c r="T6" s="288"/>
      <c r="U6" s="315"/>
      <c r="V6" s="315"/>
      <c r="W6" s="289"/>
      <c r="X6" s="40"/>
      <c r="Y6" s="242" t="s">
        <v>258</v>
      </c>
      <c r="Z6" s="248"/>
      <c r="AA6" s="249"/>
      <c r="AB6" s="40"/>
      <c r="AC6" s="242"/>
      <c r="AD6" s="248"/>
      <c r="AE6" s="249"/>
      <c r="AF6" s="40"/>
      <c r="AG6" s="242"/>
      <c r="AH6" s="248"/>
      <c r="AI6" s="249"/>
      <c r="AJ6" s="40"/>
      <c r="AK6" s="242" t="s">
        <v>258</v>
      </c>
      <c r="AL6" s="248"/>
      <c r="AM6" s="249"/>
      <c r="AN6" s="40"/>
      <c r="AO6" s="242" t="s">
        <v>259</v>
      </c>
      <c r="AP6" s="243"/>
      <c r="AQ6" s="244"/>
      <c r="AR6" s="40"/>
      <c r="AS6" s="242"/>
      <c r="AT6" s="254"/>
      <c r="AU6" s="255"/>
      <c r="AV6" s="40"/>
      <c r="AW6" s="242" t="s">
        <v>268</v>
      </c>
      <c r="AX6" s="254"/>
      <c r="AY6" s="255"/>
      <c r="AZ6" s="28"/>
      <c r="BA6" s="28"/>
      <c r="BB6" s="25"/>
      <c r="BC6" s="28"/>
      <c r="BD6" s="25"/>
      <c r="BE6" s="28"/>
      <c r="BF6" s="219"/>
      <c r="BG6" s="219"/>
      <c r="BH6" s="25"/>
      <c r="BI6" s="219"/>
      <c r="BJ6" s="219"/>
      <c r="BK6" s="25"/>
      <c r="BL6" s="219"/>
      <c r="BM6" s="219"/>
      <c r="BN6" s="25"/>
      <c r="BP6" s="77"/>
    </row>
    <row r="7" spans="1:70" ht="30" customHeight="1" x14ac:dyDescent="0.2">
      <c r="A7" s="49" t="s">
        <v>215</v>
      </c>
      <c r="B7" s="51">
        <f>IF(D7="+",$B$2-COUNTIF($B$4:B6,"&gt;"&amp;0),"")</f>
        <v>38</v>
      </c>
      <c r="C7" s="56" t="s">
        <v>230</v>
      </c>
      <c r="D7" s="53" t="s">
        <v>232</v>
      </c>
      <c r="E7" s="27">
        <v>1</v>
      </c>
      <c r="F7" s="175"/>
      <c r="G7" s="175"/>
      <c r="H7" s="175"/>
      <c r="J7" s="35"/>
      <c r="K7" s="304">
        <v>0.5</v>
      </c>
      <c r="L7" s="304"/>
      <c r="M7" s="308"/>
      <c r="N7" s="309"/>
      <c r="O7" s="28"/>
      <c r="P7" s="28"/>
      <c r="Q7" s="28"/>
      <c r="R7" s="28"/>
      <c r="S7" s="28"/>
      <c r="T7" s="290"/>
      <c r="U7" s="316"/>
      <c r="V7" s="316"/>
      <c r="W7" s="291"/>
      <c r="X7" s="40"/>
      <c r="Y7" s="250"/>
      <c r="Z7" s="251"/>
      <c r="AA7" s="252"/>
      <c r="AB7" s="40"/>
      <c r="AC7" s="250"/>
      <c r="AD7" s="251"/>
      <c r="AE7" s="252"/>
      <c r="AF7" s="40"/>
      <c r="AG7" s="250"/>
      <c r="AH7" s="251"/>
      <c r="AI7" s="252"/>
      <c r="AJ7" s="40"/>
      <c r="AK7" s="250"/>
      <c r="AL7" s="251"/>
      <c r="AM7" s="252"/>
      <c r="AN7" s="40"/>
      <c r="AO7" s="245"/>
      <c r="AP7" s="246"/>
      <c r="AQ7" s="247"/>
      <c r="AR7" s="40"/>
      <c r="AS7" s="256"/>
      <c r="AT7" s="257"/>
      <c r="AU7" s="258"/>
      <c r="AV7" s="40"/>
      <c r="AW7" s="256"/>
      <c r="AX7" s="257"/>
      <c r="AY7" s="258"/>
      <c r="AZ7" s="28"/>
      <c r="BA7" s="28"/>
      <c r="BB7" s="28"/>
      <c r="BC7" s="74"/>
      <c r="BD7" s="74"/>
      <c r="BE7" s="74"/>
      <c r="BF7" s="228" t="s">
        <v>253</v>
      </c>
      <c r="BG7" s="228"/>
      <c r="BH7" s="228"/>
      <c r="BI7" s="228"/>
      <c r="BJ7" s="228"/>
      <c r="BK7" s="228"/>
      <c r="BL7" s="228"/>
      <c r="BM7" s="228"/>
      <c r="BN7" s="25"/>
    </row>
    <row r="8" spans="1:70" ht="24.95" customHeight="1" x14ac:dyDescent="0.2">
      <c r="A8" s="49" t="s">
        <v>214</v>
      </c>
      <c r="B8" s="51">
        <f>IF(D8="+",$B$2-COUNTIF($B$4:B7,"&gt;"&amp;0),"")</f>
        <v>37</v>
      </c>
      <c r="C8" s="56" t="s">
        <v>230</v>
      </c>
      <c r="D8" s="53" t="s">
        <v>232</v>
      </c>
      <c r="J8" s="35"/>
      <c r="K8" s="304">
        <v>0.625</v>
      </c>
      <c r="L8" s="304"/>
      <c r="M8" s="310"/>
      <c r="N8" s="311"/>
      <c r="O8" s="28"/>
      <c r="P8" s="292"/>
      <c r="Q8" s="293"/>
      <c r="R8" s="28"/>
      <c r="S8" s="28"/>
      <c r="T8" s="28"/>
      <c r="U8" s="28"/>
      <c r="V8" s="28"/>
      <c r="W8" s="28"/>
      <c r="X8" s="28"/>
      <c r="Y8" s="68" t="s">
        <v>149</v>
      </c>
      <c r="Z8" s="68"/>
      <c r="AA8" s="28"/>
      <c r="AB8" s="28"/>
      <c r="AC8" s="71" t="s">
        <v>150</v>
      </c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35"/>
      <c r="AO8" s="70" t="s">
        <v>145</v>
      </c>
      <c r="AP8" s="35"/>
      <c r="AQ8" s="45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5"/>
      <c r="BC8" s="74"/>
      <c r="BD8" s="74"/>
      <c r="BE8" s="74"/>
      <c r="BF8" s="228"/>
      <c r="BG8" s="228"/>
      <c r="BH8" s="228"/>
      <c r="BI8" s="228"/>
      <c r="BJ8" s="228"/>
      <c r="BK8" s="228"/>
      <c r="BL8" s="228"/>
      <c r="BM8" s="228"/>
      <c r="BN8" s="25"/>
    </row>
    <row r="9" spans="1:70" ht="24.95" customHeight="1" x14ac:dyDescent="0.2">
      <c r="A9" s="50" t="s">
        <v>213</v>
      </c>
      <c r="B9" s="51" t="str">
        <f>IF(D9="+",$B$2-COUNTIF($B$4:B8,"&gt;"&amp;0),"")</f>
        <v/>
      </c>
      <c r="C9" s="56" t="s">
        <v>230</v>
      </c>
      <c r="D9" s="53"/>
      <c r="F9" s="176" t="s">
        <v>242</v>
      </c>
      <c r="G9" s="176"/>
      <c r="H9" s="176"/>
      <c r="J9" s="35"/>
      <c r="K9" s="28"/>
      <c r="L9" s="28"/>
      <c r="M9" s="28"/>
      <c r="N9" s="28"/>
      <c r="O9" s="28"/>
      <c r="P9" s="294"/>
      <c r="Q9" s="295"/>
      <c r="R9" s="28"/>
      <c r="S9" s="28"/>
      <c r="T9" s="28"/>
      <c r="U9" s="28"/>
      <c r="V9" s="28"/>
      <c r="W9" s="28"/>
      <c r="X9" s="28"/>
      <c r="Y9" s="288"/>
      <c r="Z9" s="289"/>
      <c r="AA9" s="28"/>
      <c r="AB9" s="28"/>
      <c r="AC9" s="288"/>
      <c r="AD9" s="289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37"/>
      <c r="AP9" s="23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74"/>
      <c r="BD9" s="74"/>
      <c r="BE9" s="74"/>
      <c r="BF9" s="228"/>
      <c r="BG9" s="228"/>
      <c r="BH9" s="228"/>
      <c r="BI9" s="228"/>
      <c r="BJ9" s="228"/>
      <c r="BK9" s="228"/>
      <c r="BL9" s="228"/>
      <c r="BM9" s="228"/>
      <c r="BN9" s="25"/>
      <c r="BQ9" s="220" t="s">
        <v>263</v>
      </c>
      <c r="BR9" s="221"/>
    </row>
    <row r="10" spans="1:70" ht="24.95" customHeight="1" x14ac:dyDescent="0.2">
      <c r="A10" s="49" t="s">
        <v>227</v>
      </c>
      <c r="B10" s="51">
        <f>IF(D10="+",$B$2-COUNTIF($B$4:B9,"&gt;"&amp;0),"")</f>
        <v>36</v>
      </c>
      <c r="C10" s="56" t="s">
        <v>230</v>
      </c>
      <c r="D10" s="53" t="s">
        <v>232</v>
      </c>
      <c r="F10" s="176"/>
      <c r="G10" s="176"/>
      <c r="H10" s="176"/>
      <c r="J10" s="35"/>
      <c r="K10" s="28"/>
      <c r="L10" s="28"/>
      <c r="M10" s="28"/>
      <c r="N10" s="28"/>
      <c r="O10" s="28"/>
      <c r="P10" s="294"/>
      <c r="Q10" s="295"/>
      <c r="R10" s="28"/>
      <c r="S10" s="28"/>
      <c r="T10" s="28"/>
      <c r="U10" s="28"/>
      <c r="V10" s="28"/>
      <c r="W10" s="28"/>
      <c r="X10" s="28"/>
      <c r="Y10" s="290"/>
      <c r="Z10" s="291"/>
      <c r="AA10" s="28"/>
      <c r="AB10" s="28"/>
      <c r="AC10" s="290"/>
      <c r="AD10" s="291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39"/>
      <c r="AP10" s="240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74"/>
      <c r="BD10" s="74"/>
      <c r="BE10" s="74"/>
      <c r="BF10" s="74"/>
      <c r="BG10" s="74"/>
      <c r="BH10" s="74"/>
      <c r="BI10" s="74"/>
      <c r="BJ10" s="74"/>
      <c r="BK10" s="28"/>
      <c r="BL10" s="28"/>
      <c r="BM10" s="28"/>
      <c r="BN10" s="25"/>
      <c r="BQ10" s="222"/>
      <c r="BR10" s="223"/>
    </row>
    <row r="11" spans="1:70" ht="24.95" customHeight="1" x14ac:dyDescent="0.2">
      <c r="A11" s="50" t="s">
        <v>211</v>
      </c>
      <c r="B11" s="51">
        <f>IF(D11="+",$B$2-COUNTIF($B$4:B10,"&gt;"&amp;0),"")</f>
        <v>35</v>
      </c>
      <c r="C11" s="56" t="s">
        <v>230</v>
      </c>
      <c r="D11" s="53" t="s">
        <v>232</v>
      </c>
      <c r="F11" s="175" t="s">
        <v>238</v>
      </c>
      <c r="G11" s="175"/>
      <c r="H11" s="175"/>
      <c r="J11" s="35"/>
      <c r="K11" s="28"/>
      <c r="L11" s="28"/>
      <c r="M11" s="28"/>
      <c r="N11" s="28"/>
      <c r="O11" s="28"/>
      <c r="P11" s="296"/>
      <c r="Q11" s="297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41" t="s">
        <v>151</v>
      </c>
      <c r="AF11" s="241"/>
      <c r="AG11" s="241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5"/>
      <c r="BQ11" s="222"/>
      <c r="BR11" s="223"/>
    </row>
    <row r="12" spans="1:70" ht="30" customHeight="1" x14ac:dyDescent="0.2">
      <c r="A12" s="50" t="s">
        <v>212</v>
      </c>
      <c r="B12" s="51" t="str">
        <f>IF(D12="+",$B$2-COUNTIF($B$4:B11,"&gt;"&amp;0),"")</f>
        <v/>
      </c>
      <c r="C12" s="56" t="s">
        <v>230</v>
      </c>
      <c r="D12" s="53"/>
      <c r="E12" s="27">
        <v>2</v>
      </c>
      <c r="F12" s="175"/>
      <c r="G12" s="175"/>
      <c r="H12" s="175"/>
      <c r="J12" s="35"/>
      <c r="K12" s="30"/>
      <c r="L12" s="30"/>
      <c r="M12" s="30"/>
      <c r="N12" s="30"/>
      <c r="O12" s="28"/>
      <c r="P12" s="28"/>
      <c r="Q12" s="28"/>
      <c r="R12" s="28"/>
      <c r="S12" s="28"/>
      <c r="T12" s="298"/>
      <c r="U12" s="299"/>
      <c r="V12" s="299"/>
      <c r="W12" s="300"/>
      <c r="X12" s="40"/>
      <c r="Y12" s="242" t="s">
        <v>272</v>
      </c>
      <c r="Z12" s="243"/>
      <c r="AA12" s="244"/>
      <c r="AB12" s="40"/>
      <c r="AC12" s="242"/>
      <c r="AD12" s="243"/>
      <c r="AE12" s="244"/>
      <c r="AF12" s="40"/>
      <c r="AG12" s="242"/>
      <c r="AH12" s="243"/>
      <c r="AI12" s="244"/>
      <c r="AJ12" s="40"/>
      <c r="AK12" s="242"/>
      <c r="AL12" s="243"/>
      <c r="AM12" s="244"/>
      <c r="AN12" s="40"/>
      <c r="AO12" s="242"/>
      <c r="AP12" s="248"/>
      <c r="AQ12" s="249"/>
      <c r="AR12" s="75"/>
      <c r="AS12" s="242"/>
      <c r="AT12" s="243"/>
      <c r="AU12" s="244"/>
      <c r="AV12" s="40"/>
      <c r="AW12" s="253"/>
      <c r="AX12" s="254"/>
      <c r="AY12" s="255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19"/>
      <c r="BK12" s="229"/>
      <c r="BL12" s="229"/>
      <c r="BM12" s="230" t="s">
        <v>254</v>
      </c>
      <c r="BN12" s="231"/>
      <c r="BO12" s="73"/>
      <c r="BQ12" s="224"/>
      <c r="BR12" s="225"/>
    </row>
    <row r="13" spans="1:70" ht="30" customHeight="1" x14ac:dyDescent="0.2">
      <c r="A13" s="49" t="s">
        <v>209</v>
      </c>
      <c r="B13" s="51">
        <f>IF(D13="+",$B$2-COUNTIF($B$4:B12,"&gt;"&amp;0),"")</f>
        <v>34</v>
      </c>
      <c r="C13" s="56" t="s">
        <v>230</v>
      </c>
      <c r="D13" s="53" t="s">
        <v>232</v>
      </c>
      <c r="J13" s="35"/>
      <c r="K13" s="28"/>
      <c r="L13" s="28"/>
      <c r="M13" s="28"/>
      <c r="N13" s="30"/>
      <c r="O13" s="28"/>
      <c r="P13" s="28"/>
      <c r="Q13" s="28"/>
      <c r="R13" s="28"/>
      <c r="S13" s="28"/>
      <c r="T13" s="301"/>
      <c r="U13" s="302"/>
      <c r="V13" s="302"/>
      <c r="W13" s="303"/>
      <c r="X13" s="40"/>
      <c r="Y13" s="245"/>
      <c r="Z13" s="246"/>
      <c r="AA13" s="247"/>
      <c r="AB13" s="40"/>
      <c r="AC13" s="245"/>
      <c r="AD13" s="246"/>
      <c r="AE13" s="247"/>
      <c r="AF13" s="40"/>
      <c r="AG13" s="245"/>
      <c r="AH13" s="246"/>
      <c r="AI13" s="247"/>
      <c r="AJ13" s="40"/>
      <c r="AK13" s="245"/>
      <c r="AL13" s="246"/>
      <c r="AM13" s="247"/>
      <c r="AN13" s="40"/>
      <c r="AO13" s="250"/>
      <c r="AP13" s="251"/>
      <c r="AQ13" s="252"/>
      <c r="AR13" s="75"/>
      <c r="AS13" s="245"/>
      <c r="AT13" s="246"/>
      <c r="AU13" s="247"/>
      <c r="AV13" s="40"/>
      <c r="AW13" s="256"/>
      <c r="AX13" s="257"/>
      <c r="AY13" s="258"/>
      <c r="AZ13" s="28"/>
      <c r="BA13" s="28"/>
      <c r="BB13" s="28"/>
      <c r="BC13" s="28"/>
      <c r="BD13" s="28"/>
      <c r="BE13" s="28"/>
      <c r="BF13" s="227" t="s">
        <v>15</v>
      </c>
      <c r="BG13" s="227"/>
      <c r="BH13" s="28"/>
      <c r="BI13" s="28"/>
      <c r="BJ13" s="229"/>
      <c r="BK13" s="229"/>
      <c r="BL13" s="229"/>
      <c r="BM13" s="230"/>
      <c r="BN13" s="231"/>
      <c r="BO13" s="73"/>
      <c r="BP13" s="76"/>
      <c r="BQ13" s="220" t="s">
        <v>257</v>
      </c>
      <c r="BR13" s="221"/>
    </row>
    <row r="14" spans="1:70" ht="24.95" customHeight="1" x14ac:dyDescent="0.25">
      <c r="A14" s="49" t="s">
        <v>210</v>
      </c>
      <c r="B14" s="51">
        <f>IF(D14="+",$B$2-COUNTIF($B$4:B13,"&gt;"&amp;0),"")</f>
        <v>33</v>
      </c>
      <c r="C14" s="56" t="s">
        <v>230</v>
      </c>
      <c r="D14" s="53" t="s">
        <v>232</v>
      </c>
      <c r="F14" s="176" t="s">
        <v>239</v>
      </c>
      <c r="G14" s="176"/>
      <c r="H14" s="176"/>
      <c r="J14" s="35"/>
      <c r="K14" s="28"/>
      <c r="L14" s="28"/>
      <c r="M14" s="31"/>
      <c r="N14" s="35"/>
      <c r="O14" s="35"/>
      <c r="P14" s="35"/>
      <c r="Q14" s="232" t="s">
        <v>251</v>
      </c>
      <c r="R14" s="232"/>
      <c r="S14" s="232"/>
      <c r="T14" s="232"/>
      <c r="U14" s="232"/>
      <c r="V14" s="232"/>
      <c r="W14" s="232"/>
      <c r="X14" s="232"/>
      <c r="Y14" s="232"/>
      <c r="Z14" s="232"/>
      <c r="AA14" s="232"/>
      <c r="AB14" s="35"/>
      <c r="AC14" s="35"/>
      <c r="AD14" s="35"/>
      <c r="AE14" s="35"/>
      <c r="AF14" s="35"/>
      <c r="AG14" s="35"/>
      <c r="AH14" s="35"/>
      <c r="AI14" s="35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28"/>
      <c r="BA14" s="28"/>
      <c r="BB14" s="28"/>
      <c r="BC14" s="28"/>
      <c r="BD14" s="28"/>
      <c r="BE14" s="28"/>
      <c r="BF14" s="220"/>
      <c r="BG14" s="221"/>
      <c r="BH14" s="28"/>
      <c r="BI14" s="28"/>
      <c r="BJ14" s="229"/>
      <c r="BK14" s="229"/>
      <c r="BL14" s="229"/>
      <c r="BM14" s="230"/>
      <c r="BN14" s="231"/>
      <c r="BO14" s="73"/>
      <c r="BQ14" s="222"/>
      <c r="BR14" s="223"/>
    </row>
    <row r="15" spans="1:70" ht="24.95" customHeight="1" x14ac:dyDescent="0.25">
      <c r="A15" s="50" t="s">
        <v>207</v>
      </c>
      <c r="B15" s="51">
        <f>IF(D15="+",$B$2-COUNTIF($B$4:B14,"&gt;"&amp;0),"")</f>
        <v>32</v>
      </c>
      <c r="C15" s="56" t="s">
        <v>230</v>
      </c>
      <c r="D15" s="53" t="s">
        <v>232</v>
      </c>
      <c r="F15" s="176"/>
      <c r="G15" s="176"/>
      <c r="H15" s="176"/>
      <c r="J15" s="35"/>
      <c r="K15" s="28"/>
      <c r="L15" s="28"/>
      <c r="M15" s="31"/>
      <c r="N15" s="35"/>
      <c r="O15" s="35"/>
      <c r="P15" s="35"/>
      <c r="Q15" s="232"/>
      <c r="R15" s="232"/>
      <c r="S15" s="232"/>
      <c r="T15" s="232"/>
      <c r="U15" s="232"/>
      <c r="V15" s="232"/>
      <c r="W15" s="232"/>
      <c r="X15" s="232"/>
      <c r="Y15" s="232"/>
      <c r="Z15" s="232"/>
      <c r="AA15" s="232"/>
      <c r="AB15" s="35"/>
      <c r="AC15" s="35"/>
      <c r="AD15" s="35"/>
      <c r="AE15" s="35"/>
      <c r="AF15" s="35"/>
      <c r="AG15" s="35"/>
      <c r="AH15" s="35"/>
      <c r="AI15" s="35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28"/>
      <c r="BA15" s="28"/>
      <c r="BB15" s="28"/>
      <c r="BC15" s="28"/>
      <c r="BD15" s="28"/>
      <c r="BE15" s="28"/>
      <c r="BF15" s="222"/>
      <c r="BG15" s="223"/>
      <c r="BH15" s="28"/>
      <c r="BI15" s="28"/>
      <c r="BJ15" s="229"/>
      <c r="BK15" s="229"/>
      <c r="BL15" s="229"/>
      <c r="BM15" s="230"/>
      <c r="BN15" s="231"/>
      <c r="BO15" s="73"/>
      <c r="BQ15" s="222"/>
      <c r="BR15" s="223"/>
    </row>
    <row r="16" spans="1:70" ht="30" customHeight="1" x14ac:dyDescent="0.25">
      <c r="A16" s="50" t="s">
        <v>208</v>
      </c>
      <c r="B16" s="51" t="str">
        <f>IF(D16="+",$B$2-COUNTIF($B$4:B15,"&gt;"&amp;0),"")</f>
        <v/>
      </c>
      <c r="C16" s="56" t="s">
        <v>230</v>
      </c>
      <c r="D16" s="53"/>
      <c r="F16" s="175" t="s">
        <v>238</v>
      </c>
      <c r="G16" s="175"/>
      <c r="H16" s="175"/>
      <c r="J16" s="35"/>
      <c r="K16" s="28"/>
      <c r="L16" s="28"/>
      <c r="M16" s="31"/>
      <c r="N16" s="35"/>
      <c r="O16" s="35"/>
      <c r="P16" s="35"/>
      <c r="Q16" s="35"/>
      <c r="R16" s="270"/>
      <c r="S16" s="277"/>
      <c r="T16" s="271"/>
      <c r="U16" s="35"/>
      <c r="V16" s="270"/>
      <c r="W16" s="274"/>
      <c r="X16" s="35"/>
      <c r="Y16" s="270"/>
      <c r="Z16" s="271"/>
      <c r="AA16" s="35"/>
      <c r="AB16" s="35"/>
      <c r="AC16" s="35"/>
      <c r="AD16" s="35"/>
      <c r="AE16" s="35"/>
      <c r="AF16" s="35"/>
      <c r="AG16" s="35"/>
      <c r="AH16" s="35"/>
      <c r="AI16" s="35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28"/>
      <c r="BA16" s="28"/>
      <c r="BB16" s="220"/>
      <c r="BC16" s="221"/>
      <c r="BD16" s="28"/>
      <c r="BE16" s="28"/>
      <c r="BF16" s="222"/>
      <c r="BG16" s="223"/>
      <c r="BH16" s="28"/>
      <c r="BI16" s="28"/>
      <c r="BJ16" s="219"/>
      <c r="BK16" s="229"/>
      <c r="BL16" s="229"/>
      <c r="BM16" s="230" t="s">
        <v>158</v>
      </c>
      <c r="BN16" s="231"/>
      <c r="BO16" s="73"/>
      <c r="BQ16" s="224"/>
      <c r="BR16" s="225"/>
    </row>
    <row r="17" spans="1:71" ht="30" customHeight="1" x14ac:dyDescent="0.25">
      <c r="A17" s="49" t="s">
        <v>228</v>
      </c>
      <c r="B17" s="51">
        <f>IF(D17="+",$B$2-COUNTIF($B$4:B16,"&gt;"&amp;0),"")</f>
        <v>31</v>
      </c>
      <c r="C17" s="56" t="s">
        <v>230</v>
      </c>
      <c r="D17" s="53" t="s">
        <v>232</v>
      </c>
      <c r="E17" s="27">
        <v>3</v>
      </c>
      <c r="F17" s="175"/>
      <c r="G17" s="175"/>
      <c r="H17" s="175"/>
      <c r="J17" s="35"/>
      <c r="K17" s="28"/>
      <c r="L17" s="28"/>
      <c r="M17" s="31"/>
      <c r="N17" s="35"/>
      <c r="O17" s="35"/>
      <c r="P17" s="35"/>
      <c r="Q17" s="35"/>
      <c r="R17" s="272"/>
      <c r="S17" s="283"/>
      <c r="T17" s="273"/>
      <c r="U17" s="35"/>
      <c r="V17" s="275"/>
      <c r="W17" s="276"/>
      <c r="X17" s="35"/>
      <c r="Y17" s="272"/>
      <c r="Z17" s="273"/>
      <c r="AA17" s="35"/>
      <c r="AB17" s="35"/>
      <c r="AC17" s="35"/>
      <c r="AD17" s="35"/>
      <c r="AE17" s="35"/>
      <c r="AF17" s="35"/>
      <c r="AG17" s="35"/>
      <c r="AH17" s="35"/>
      <c r="AI17" s="35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28"/>
      <c r="BA17" s="28"/>
      <c r="BB17" s="222"/>
      <c r="BC17" s="223"/>
      <c r="BD17" s="28"/>
      <c r="BE17" s="28"/>
      <c r="BF17" s="224"/>
      <c r="BG17" s="225"/>
      <c r="BH17" s="28"/>
      <c r="BI17" s="28"/>
      <c r="BJ17" s="229"/>
      <c r="BK17" s="229"/>
      <c r="BL17" s="229"/>
      <c r="BM17" s="230"/>
      <c r="BN17" s="231"/>
      <c r="BO17" s="73"/>
      <c r="BP17" s="77"/>
      <c r="BQ17" s="220" t="s">
        <v>261</v>
      </c>
      <c r="BR17" s="221"/>
    </row>
    <row r="18" spans="1:71" ht="24.95" customHeight="1" x14ac:dyDescent="0.25">
      <c r="A18" s="50" t="s">
        <v>205</v>
      </c>
      <c r="B18" s="51">
        <f>IF(D18="+",$B$2-COUNTIF($B$4:B17,"&gt;"&amp;0),"")</f>
        <v>30</v>
      </c>
      <c r="C18" s="56" t="s">
        <v>230</v>
      </c>
      <c r="D18" s="53" t="s">
        <v>232</v>
      </c>
      <c r="J18" s="35"/>
      <c r="K18" s="28"/>
      <c r="L18" s="28"/>
      <c r="M18" s="31"/>
      <c r="N18" s="35"/>
      <c r="O18" s="35"/>
      <c r="P18" s="35"/>
      <c r="Q18" s="69" t="s">
        <v>252</v>
      </c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35"/>
      <c r="AD18" s="35"/>
      <c r="AE18" s="35"/>
      <c r="AF18" s="35"/>
      <c r="AG18" s="35"/>
      <c r="AH18" s="35"/>
      <c r="AI18" s="35"/>
      <c r="AJ18" s="63" t="str">
        <f>B57</f>
        <v/>
      </c>
      <c r="AK18" s="28"/>
      <c r="AL18" s="36"/>
      <c r="AM18" s="28"/>
      <c r="AN18" s="28"/>
      <c r="AO18" s="28"/>
      <c r="AP18" s="28"/>
      <c r="AQ18" s="36"/>
      <c r="AR18" s="36"/>
      <c r="AS18" s="36"/>
      <c r="AT18" s="36"/>
      <c r="AU18" s="36"/>
      <c r="AV18" s="36"/>
      <c r="AW18" s="36"/>
      <c r="AX18" s="36"/>
      <c r="AY18" s="36"/>
      <c r="AZ18" s="28"/>
      <c r="BA18" s="28"/>
      <c r="BB18" s="222"/>
      <c r="BC18" s="223"/>
      <c r="BD18" s="28"/>
      <c r="BE18" s="28"/>
      <c r="BF18" s="28"/>
      <c r="BG18" s="28"/>
      <c r="BH18" s="28"/>
      <c r="BI18" s="28"/>
      <c r="BJ18" s="229"/>
      <c r="BK18" s="229"/>
      <c r="BL18" s="229"/>
      <c r="BM18" s="230"/>
      <c r="BN18" s="231"/>
      <c r="BO18" s="73"/>
      <c r="BP18" s="77"/>
      <c r="BQ18" s="222"/>
      <c r="BR18" s="223"/>
    </row>
    <row r="19" spans="1:71" ht="30" customHeight="1" x14ac:dyDescent="0.2">
      <c r="A19" s="50" t="s">
        <v>206</v>
      </c>
      <c r="B19" s="51">
        <f>IF(D19="+",$B$2-COUNTIF($B$4:B18,"&gt;"&amp;0),"")</f>
        <v>29</v>
      </c>
      <c r="C19" s="56" t="s">
        <v>230</v>
      </c>
      <c r="D19" s="53" t="s">
        <v>232</v>
      </c>
      <c r="F19" s="176" t="s">
        <v>240</v>
      </c>
      <c r="G19" s="176"/>
      <c r="H19" s="176"/>
      <c r="J19" s="35"/>
      <c r="K19" s="28"/>
      <c r="L19" s="28"/>
      <c r="M19" s="28"/>
      <c r="N19" s="35"/>
      <c r="O19" s="35"/>
      <c r="P19" s="35"/>
      <c r="Q19" s="35"/>
      <c r="R19" s="270"/>
      <c r="S19" s="277"/>
      <c r="T19" s="271"/>
      <c r="U19" s="35"/>
      <c r="V19" s="270"/>
      <c r="W19" s="271"/>
      <c r="X19" s="35"/>
      <c r="Y19" s="284"/>
      <c r="Z19" s="285"/>
      <c r="AA19" s="35"/>
      <c r="AB19" s="35"/>
      <c r="AC19" s="35"/>
      <c r="AD19" s="35"/>
      <c r="AE19" s="35"/>
      <c r="AF19" s="35"/>
      <c r="AG19" s="35"/>
      <c r="AH19" s="35"/>
      <c r="AI19" s="35"/>
      <c r="AJ19" s="63"/>
      <c r="AK19" s="28"/>
      <c r="AL19" s="36"/>
      <c r="AM19" s="28"/>
      <c r="AN19" s="28"/>
      <c r="AO19" s="28"/>
      <c r="AP19" s="28"/>
      <c r="AQ19" s="36"/>
      <c r="AR19" s="36"/>
      <c r="AS19" s="36"/>
      <c r="AT19" s="36"/>
      <c r="AU19" s="36"/>
      <c r="AV19" s="36"/>
      <c r="AW19" s="36"/>
      <c r="AX19" s="36"/>
      <c r="AY19" s="36"/>
      <c r="AZ19" s="28"/>
      <c r="BA19" s="28"/>
      <c r="BB19" s="224"/>
      <c r="BC19" s="225"/>
      <c r="BD19" s="28"/>
      <c r="BE19" s="28"/>
      <c r="BF19" s="28"/>
      <c r="BG19" s="28"/>
      <c r="BH19" s="28"/>
      <c r="BI19" s="28"/>
      <c r="BJ19" s="229"/>
      <c r="BK19" s="229"/>
      <c r="BL19" s="229"/>
      <c r="BM19" s="230"/>
      <c r="BN19" s="231"/>
      <c r="BO19" s="73"/>
      <c r="BP19" s="77"/>
      <c r="BQ19" s="222"/>
      <c r="BR19" s="223"/>
    </row>
    <row r="20" spans="1:71" ht="39.75" customHeight="1" x14ac:dyDescent="0.2">
      <c r="A20" s="49" t="s">
        <v>204</v>
      </c>
      <c r="B20" s="51">
        <f>IF(D20="+",$B$2-COUNTIF($B$4:B19,"&gt;"&amp;0),"")</f>
        <v>28</v>
      </c>
      <c r="C20" s="56" t="s">
        <v>230</v>
      </c>
      <c r="D20" s="53" t="s">
        <v>232</v>
      </c>
      <c r="F20" s="176"/>
      <c r="G20" s="176"/>
      <c r="H20" s="176"/>
      <c r="J20" s="35"/>
      <c r="K20" s="28"/>
      <c r="L20" s="28"/>
      <c r="M20" s="28"/>
      <c r="N20" s="35"/>
      <c r="O20" s="35"/>
      <c r="P20" s="35"/>
      <c r="Q20" s="35"/>
      <c r="R20" s="272"/>
      <c r="S20" s="283"/>
      <c r="T20" s="273"/>
      <c r="U20" s="35"/>
      <c r="V20" s="272"/>
      <c r="W20" s="273"/>
      <c r="X20" s="35"/>
      <c r="Y20" s="286"/>
      <c r="Z20" s="287"/>
      <c r="AA20" s="35"/>
      <c r="AB20" s="35"/>
      <c r="AC20" s="35"/>
      <c r="AD20" s="35"/>
      <c r="AE20" s="35"/>
      <c r="AF20" s="35"/>
      <c r="AG20" s="35"/>
      <c r="AH20" s="35"/>
      <c r="AI20" s="35"/>
      <c r="AJ20" s="63"/>
      <c r="AK20" s="28"/>
      <c r="AL20" s="36"/>
      <c r="AM20" s="28"/>
      <c r="AN20" s="28"/>
      <c r="AO20" s="28"/>
      <c r="AP20" s="28"/>
      <c r="AQ20" s="28"/>
      <c r="AR20" s="28"/>
      <c r="AS20" s="36"/>
      <c r="AT20" s="36"/>
      <c r="AU20" s="36"/>
      <c r="AV20" s="36"/>
      <c r="AW20" s="36"/>
      <c r="AX20" s="36"/>
      <c r="AY20" s="36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5"/>
      <c r="BQ20" s="224"/>
      <c r="BR20" s="225"/>
    </row>
    <row r="21" spans="1:71" ht="24.95" customHeight="1" x14ac:dyDescent="0.2">
      <c r="A21" s="49" t="s">
        <v>203</v>
      </c>
      <c r="B21" s="51">
        <f>IF(D21="+",$B$2-COUNTIF($B$4:B20,"&gt;"&amp;0),"")</f>
        <v>27</v>
      </c>
      <c r="C21" s="56" t="s">
        <v>230</v>
      </c>
      <c r="D21" s="53" t="s">
        <v>232</v>
      </c>
      <c r="F21" s="175" t="s">
        <v>248</v>
      </c>
      <c r="G21" s="175"/>
      <c r="H21" s="175"/>
      <c r="J21" s="35"/>
      <c r="K21" s="28"/>
      <c r="L21" s="28"/>
      <c r="M21" s="28"/>
      <c r="N21" s="28"/>
      <c r="O21" s="28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36"/>
      <c r="AT21" s="36"/>
      <c r="AU21" s="36"/>
      <c r="AV21" s="36"/>
      <c r="AW21" s="36"/>
      <c r="AX21" s="36"/>
      <c r="AY21" s="36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5"/>
      <c r="BQ21" s="219" t="s">
        <v>267</v>
      </c>
      <c r="BR21" s="219"/>
    </row>
    <row r="22" spans="1:71" ht="30" customHeight="1" x14ac:dyDescent="0.2">
      <c r="A22" s="49" t="s">
        <v>202</v>
      </c>
      <c r="B22" s="51">
        <f>IF(D22="+",$B$2-COUNTIF($B$4:B21,"&gt;"&amp;0),"")</f>
        <v>26</v>
      </c>
      <c r="C22" s="56" t="s">
        <v>230</v>
      </c>
      <c r="D22" s="53" t="s">
        <v>232</v>
      </c>
      <c r="E22" s="27">
        <v>4</v>
      </c>
      <c r="F22" s="175"/>
      <c r="G22" s="175"/>
      <c r="H22" s="17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233"/>
      <c r="AD22" s="234"/>
      <c r="AE22" s="35"/>
      <c r="AF22" s="35"/>
      <c r="AG22" s="233" t="s">
        <v>273</v>
      </c>
      <c r="AH22" s="234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36"/>
      <c r="AT22" s="36"/>
      <c r="AU22" s="36"/>
      <c r="AV22" s="36"/>
      <c r="AW22" s="36"/>
      <c r="AX22" s="36"/>
      <c r="AY22" s="36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5"/>
      <c r="BQ22" s="219"/>
      <c r="BR22" s="219"/>
    </row>
    <row r="23" spans="1:71" ht="30" customHeight="1" x14ac:dyDescent="0.2">
      <c r="A23" s="49" t="s">
        <v>201</v>
      </c>
      <c r="B23" s="51">
        <f>IF(D23="+",$B$2-COUNTIF($B$4:B22,"&gt;"&amp;0),"")</f>
        <v>25</v>
      </c>
      <c r="C23" s="56" t="s">
        <v>230</v>
      </c>
      <c r="D23" s="53" t="s">
        <v>232</v>
      </c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235"/>
      <c r="AD23" s="236"/>
      <c r="AE23" s="35"/>
      <c r="AF23" s="35"/>
      <c r="AG23" s="235"/>
      <c r="AH23" s="236"/>
      <c r="AI23" s="28"/>
      <c r="AJ23" s="28"/>
      <c r="AK23" s="28"/>
      <c r="AL23" s="28"/>
      <c r="AM23" s="28"/>
      <c r="AN23" s="28"/>
      <c r="AO23" s="28"/>
      <c r="AP23" s="28"/>
      <c r="AQ23" s="46"/>
      <c r="AR23" s="28"/>
      <c r="AS23" s="36"/>
      <c r="AT23" s="36"/>
      <c r="AU23" s="36"/>
      <c r="AV23" s="36"/>
      <c r="AW23" s="36"/>
      <c r="AX23" s="36"/>
      <c r="AY23" s="36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5"/>
      <c r="BQ23" s="219"/>
      <c r="BR23" s="219"/>
    </row>
    <row r="24" spans="1:71" ht="30" customHeight="1" x14ac:dyDescent="0.2">
      <c r="A24" s="49" t="s">
        <v>200</v>
      </c>
      <c r="B24" s="51">
        <f>IF(D24="+",$B$2-COUNTIF($B$4:B23,"&gt;"&amp;0),"")</f>
        <v>24</v>
      </c>
      <c r="C24" s="56" t="s">
        <v>230</v>
      </c>
      <c r="D24" s="53" t="s">
        <v>232</v>
      </c>
      <c r="F24" s="176" t="s">
        <v>237</v>
      </c>
      <c r="G24" s="176"/>
      <c r="H24" s="176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233"/>
      <c r="AD24" s="234"/>
      <c r="AE24" s="35"/>
      <c r="AF24" s="35"/>
      <c r="AG24" s="270" t="s">
        <v>264</v>
      </c>
      <c r="AH24" s="271"/>
      <c r="AI24" s="28"/>
      <c r="AJ24" s="28"/>
      <c r="AK24" s="28"/>
      <c r="AL24" s="28"/>
      <c r="AM24" s="28"/>
      <c r="AN24" s="28"/>
      <c r="AO24" s="28"/>
      <c r="AP24" s="46"/>
      <c r="AQ24" s="28"/>
      <c r="AR24" s="28"/>
      <c r="AS24" s="36"/>
      <c r="AT24" s="36"/>
      <c r="AU24" s="36"/>
      <c r="AV24" s="36"/>
      <c r="AW24" s="36"/>
      <c r="AX24" s="36"/>
      <c r="AY24" s="36"/>
      <c r="AZ24" s="36"/>
      <c r="BA24" s="36"/>
      <c r="BB24" s="28"/>
      <c r="BC24" s="28"/>
      <c r="BD24" s="28"/>
      <c r="BE24" s="28"/>
      <c r="BF24" s="28"/>
      <c r="BG24" s="241" t="s">
        <v>146</v>
      </c>
      <c r="BH24" s="241"/>
      <c r="BI24" s="241"/>
      <c r="BJ24" s="241"/>
      <c r="BK24" s="241"/>
      <c r="BL24" s="72"/>
      <c r="BM24" s="28"/>
      <c r="BN24" s="25"/>
      <c r="BQ24" s="219"/>
      <c r="BR24" s="219"/>
    </row>
    <row r="25" spans="1:71" ht="30" customHeight="1" x14ac:dyDescent="0.2">
      <c r="A25" s="49" t="s">
        <v>199</v>
      </c>
      <c r="B25" s="51">
        <f>IF(D25="+",$B$2-COUNTIF($B$4:B24,"&gt;"&amp;0),"")</f>
        <v>23</v>
      </c>
      <c r="C25" s="56" t="s">
        <v>230</v>
      </c>
      <c r="D25" s="53" t="s">
        <v>232</v>
      </c>
      <c r="F25" s="176"/>
      <c r="G25" s="176"/>
      <c r="H25" s="176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235"/>
      <c r="AD25" s="236"/>
      <c r="AE25" s="35"/>
      <c r="AF25" s="35"/>
      <c r="AG25" s="272"/>
      <c r="AH25" s="273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36"/>
      <c r="AT25" s="36"/>
      <c r="AU25" s="36"/>
      <c r="AV25" s="36"/>
      <c r="AW25" s="36"/>
      <c r="AX25" s="36"/>
      <c r="AY25" s="36"/>
      <c r="AZ25" s="40"/>
      <c r="BA25" s="39"/>
      <c r="BB25" s="28"/>
      <c r="BC25" s="28"/>
      <c r="BD25" s="28"/>
      <c r="BE25" s="28"/>
      <c r="BF25" s="28"/>
      <c r="BG25" s="28"/>
      <c r="BH25" s="259"/>
      <c r="BI25" s="260"/>
      <c r="BJ25" s="261"/>
      <c r="BK25" s="28"/>
      <c r="BL25" s="28"/>
      <c r="BM25" s="28"/>
      <c r="BN25" s="25"/>
      <c r="BQ25" s="219"/>
      <c r="BR25" s="219"/>
    </row>
    <row r="26" spans="1:71" ht="30" customHeight="1" x14ac:dyDescent="0.2">
      <c r="A26" s="49" t="s">
        <v>198</v>
      </c>
      <c r="B26" s="51">
        <f>IF(D26="+",$B$2-COUNTIF($B$4:B25,"&gt;"&amp;0),"")</f>
        <v>22</v>
      </c>
      <c r="C26" s="56" t="s">
        <v>230</v>
      </c>
      <c r="D26" s="53" t="s">
        <v>232</v>
      </c>
      <c r="F26" s="175" t="s">
        <v>248</v>
      </c>
      <c r="G26" s="175"/>
      <c r="H26" s="175"/>
      <c r="J26" s="35"/>
      <c r="K26" s="282" t="s">
        <v>256</v>
      </c>
      <c r="L26" s="282"/>
      <c r="M26" s="282"/>
      <c r="N26" s="282"/>
      <c r="O26" s="282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233"/>
      <c r="AD26" s="234"/>
      <c r="AE26" s="35"/>
      <c r="AF26" s="35"/>
      <c r="AG26" s="270" t="s">
        <v>265</v>
      </c>
      <c r="AH26" s="274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36"/>
      <c r="AT26" s="36"/>
      <c r="AU26" s="36"/>
      <c r="AV26" s="36"/>
      <c r="AW26" s="36"/>
      <c r="AX26" s="36"/>
      <c r="AY26" s="36"/>
      <c r="AZ26" s="40"/>
      <c r="BA26" s="39"/>
      <c r="BB26" s="28"/>
      <c r="BC26" s="28"/>
      <c r="BD26" s="28"/>
      <c r="BE26" s="28"/>
      <c r="BF26" s="28"/>
      <c r="BG26" s="28"/>
      <c r="BH26" s="262"/>
      <c r="BI26" s="263"/>
      <c r="BJ26" s="264"/>
      <c r="BK26" s="28"/>
      <c r="BL26" s="28"/>
      <c r="BM26" s="28"/>
      <c r="BN26" s="25"/>
      <c r="BQ26" s="219" t="s">
        <v>260</v>
      </c>
      <c r="BR26" s="219"/>
      <c r="BS26" s="226"/>
    </row>
    <row r="27" spans="1:71" ht="30" customHeight="1" x14ac:dyDescent="0.2">
      <c r="A27" s="49" t="s">
        <v>197</v>
      </c>
      <c r="B27" s="51">
        <f>IF(D27="+",$B$2-COUNTIF($B$4:B26,"&gt;"&amp;0),"")</f>
        <v>21</v>
      </c>
      <c r="C27" s="56" t="s">
        <v>230</v>
      </c>
      <c r="D27" s="53" t="s">
        <v>232</v>
      </c>
      <c r="E27" s="27">
        <v>5</v>
      </c>
      <c r="F27" s="175"/>
      <c r="G27" s="175"/>
      <c r="H27" s="175"/>
      <c r="J27" s="35"/>
      <c r="K27" s="35"/>
      <c r="L27" s="270"/>
      <c r="M27" s="277"/>
      <c r="N27" s="274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235"/>
      <c r="AD27" s="236"/>
      <c r="AE27" s="35"/>
      <c r="AF27" s="35"/>
      <c r="AG27" s="275"/>
      <c r="AH27" s="276"/>
      <c r="AI27" s="28"/>
      <c r="AJ27" s="28"/>
      <c r="AK27" s="28"/>
      <c r="AL27" s="28"/>
      <c r="AM27" s="28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28"/>
      <c r="BC27" s="28"/>
      <c r="BD27" s="28"/>
      <c r="BE27" s="28"/>
      <c r="BF27" s="28"/>
      <c r="BG27" s="28"/>
      <c r="BH27" s="259"/>
      <c r="BI27" s="260"/>
      <c r="BJ27" s="261"/>
      <c r="BK27" s="28"/>
      <c r="BL27" s="28"/>
      <c r="BM27" s="28"/>
      <c r="BN27" s="25"/>
      <c r="BQ27" s="219"/>
      <c r="BR27" s="219"/>
      <c r="BS27" s="226"/>
    </row>
    <row r="28" spans="1:71" ht="30" customHeight="1" x14ac:dyDescent="0.2">
      <c r="A28" s="49" t="s">
        <v>196</v>
      </c>
      <c r="B28" s="55" t="s">
        <v>274</v>
      </c>
      <c r="C28" s="53">
        <f>IF(D28="+",$C$2-COUNTIF($C$24:C27,"&gt;"&amp;0),"")</f>
        <v>20</v>
      </c>
      <c r="D28" s="53" t="s">
        <v>232</v>
      </c>
      <c r="J28" s="35"/>
      <c r="K28" s="35"/>
      <c r="L28" s="278"/>
      <c r="M28" s="279"/>
      <c r="N28" s="280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233"/>
      <c r="AD28" s="234"/>
      <c r="AE28" s="35"/>
      <c r="AF28" s="35"/>
      <c r="AG28" s="270" t="s">
        <v>266</v>
      </c>
      <c r="AH28" s="274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36"/>
      <c r="AT28" s="36"/>
      <c r="AU28" s="36"/>
      <c r="AV28" s="36"/>
      <c r="AW28" s="36"/>
      <c r="AX28" s="36"/>
      <c r="AY28" s="36"/>
      <c r="AZ28" s="28"/>
      <c r="BA28" s="28"/>
      <c r="BB28" s="28"/>
      <c r="BC28" s="28"/>
      <c r="BD28" s="28"/>
      <c r="BE28" s="28"/>
      <c r="BF28" s="28"/>
      <c r="BG28" s="28"/>
      <c r="BH28" s="262"/>
      <c r="BI28" s="263"/>
      <c r="BJ28" s="264"/>
      <c r="BK28" s="28"/>
      <c r="BL28" s="28"/>
      <c r="BM28" s="28"/>
      <c r="BN28" s="25"/>
      <c r="BQ28" s="219"/>
      <c r="BR28" s="219"/>
      <c r="BS28" s="226"/>
    </row>
    <row r="29" spans="1:71" ht="30" customHeight="1" x14ac:dyDescent="0.2">
      <c r="A29" s="49" t="s">
        <v>195</v>
      </c>
      <c r="B29" s="55" t="s">
        <v>274</v>
      </c>
      <c r="C29" s="53">
        <f>IF(D29="+",$C$2-COUNTIF($C$24:C28,"&gt;"&amp;0),"")</f>
        <v>19</v>
      </c>
      <c r="D29" s="53" t="s">
        <v>232</v>
      </c>
      <c r="F29" s="176" t="s">
        <v>243</v>
      </c>
      <c r="G29" s="176"/>
      <c r="H29" s="176"/>
      <c r="J29" s="35"/>
      <c r="K29" s="35"/>
      <c r="L29" s="275"/>
      <c r="M29" s="281"/>
      <c r="N29" s="276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235"/>
      <c r="AD29" s="236"/>
      <c r="AE29" s="35"/>
      <c r="AF29" s="35"/>
      <c r="AG29" s="275"/>
      <c r="AH29" s="276"/>
      <c r="AI29" s="64"/>
      <c r="AJ29" s="64"/>
      <c r="AK29" s="28"/>
      <c r="AL29" s="28"/>
      <c r="AM29" s="28"/>
      <c r="AN29" s="28"/>
      <c r="AO29" s="28"/>
      <c r="AP29" s="28"/>
      <c r="AQ29" s="28"/>
      <c r="AR29" s="28"/>
      <c r="AS29" s="36"/>
      <c r="AT29" s="36"/>
      <c r="AU29" s="36"/>
      <c r="AV29" s="36"/>
      <c r="AW29" s="36"/>
      <c r="AX29" s="36"/>
      <c r="AY29" s="36"/>
      <c r="AZ29" s="28"/>
      <c r="BA29" s="28"/>
      <c r="BB29" s="28"/>
      <c r="BC29" s="28"/>
      <c r="BD29" s="28"/>
      <c r="BE29" s="28"/>
      <c r="BF29" s="28"/>
      <c r="BG29" s="28"/>
      <c r="BH29" s="259"/>
      <c r="BI29" s="260"/>
      <c r="BJ29" s="261"/>
      <c r="BK29" s="28"/>
      <c r="BL29" s="28"/>
      <c r="BM29" s="28"/>
      <c r="BN29" s="25"/>
      <c r="BQ29" s="219"/>
      <c r="BR29" s="219"/>
      <c r="BS29" s="226"/>
    </row>
    <row r="30" spans="1:71" ht="30" customHeight="1" x14ac:dyDescent="0.2">
      <c r="A30" s="49" t="s">
        <v>194</v>
      </c>
      <c r="B30" s="55" t="s">
        <v>274</v>
      </c>
      <c r="C30" s="53">
        <f>IF(D30="+",$C$2-COUNTIF($C$24:C29,"&gt;"&amp;0),"")</f>
        <v>18</v>
      </c>
      <c r="D30" s="53" t="s">
        <v>232</v>
      </c>
      <c r="F30" s="176"/>
      <c r="G30" s="176"/>
      <c r="H30" s="176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9"/>
      <c r="AE30" s="39"/>
      <c r="AF30" s="35"/>
      <c r="AG30" s="39"/>
      <c r="AH30" s="64"/>
      <c r="AI30" s="64"/>
      <c r="AJ30" s="64"/>
      <c r="AK30" s="28"/>
      <c r="AL30" s="28"/>
      <c r="AM30" s="28"/>
      <c r="AN30" s="28"/>
      <c r="AO30" s="46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62"/>
      <c r="BI30" s="263"/>
      <c r="BJ30" s="264"/>
      <c r="BK30" s="28"/>
      <c r="BL30" s="28"/>
      <c r="BM30" s="28"/>
      <c r="BN30" s="25"/>
      <c r="BQ30" s="220" t="s">
        <v>262</v>
      </c>
      <c r="BR30" s="221"/>
    </row>
    <row r="31" spans="1:71" ht="30" customHeight="1" x14ac:dyDescent="0.2">
      <c r="A31" s="49" t="s">
        <v>193</v>
      </c>
      <c r="B31" s="55" t="s">
        <v>274</v>
      </c>
      <c r="C31" s="53">
        <f>IF(D31="+",$C$2-COUNTIF($C$24:C30,"&gt;"&amp;0),"")</f>
        <v>17</v>
      </c>
      <c r="D31" s="53" t="s">
        <v>232</v>
      </c>
      <c r="F31" s="175" t="s">
        <v>238</v>
      </c>
      <c r="G31" s="175"/>
      <c r="H31" s="17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41"/>
      <c r="AC31" s="39"/>
      <c r="AD31" s="39"/>
      <c r="AE31" s="39"/>
      <c r="AF31" s="40"/>
      <c r="AG31" s="39"/>
      <c r="AH31" s="41"/>
      <c r="AI31" s="41"/>
      <c r="AJ31" s="41"/>
      <c r="AK31" s="39"/>
      <c r="AL31" s="41"/>
      <c r="AM31" s="41"/>
      <c r="AN31" s="41"/>
      <c r="AO31" s="39" t="str">
        <f>B9</f>
        <v/>
      </c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59"/>
      <c r="BI31" s="260"/>
      <c r="BJ31" s="261"/>
      <c r="BK31" s="28"/>
      <c r="BL31" s="28"/>
      <c r="BM31" s="28"/>
      <c r="BN31" s="25"/>
      <c r="BQ31" s="222"/>
      <c r="BR31" s="223"/>
    </row>
    <row r="32" spans="1:71" ht="30" customHeight="1" x14ac:dyDescent="0.2">
      <c r="A32" s="49" t="s">
        <v>192</v>
      </c>
      <c r="B32" s="55" t="s">
        <v>274</v>
      </c>
      <c r="C32" s="53">
        <f>IF(D32="+",$C$2-COUNTIF($C$24:C31,"&gt;"&amp;0),"")</f>
        <v>16</v>
      </c>
      <c r="D32" s="53" t="s">
        <v>232</v>
      </c>
      <c r="E32" s="27">
        <v>6</v>
      </c>
      <c r="F32" s="175"/>
      <c r="G32" s="175"/>
      <c r="H32" s="175"/>
      <c r="J32" s="35"/>
      <c r="K32" s="35"/>
      <c r="L32" s="35"/>
      <c r="M32" s="35"/>
      <c r="N32" s="35"/>
      <c r="O32" s="35"/>
      <c r="P32" s="35"/>
      <c r="Q32" s="69"/>
      <c r="R32" s="35"/>
      <c r="S32" s="35"/>
      <c r="T32" s="35"/>
      <c r="U32" s="35"/>
      <c r="V32" s="35"/>
      <c r="W32" s="35"/>
      <c r="X32" s="41"/>
      <c r="Y32" s="39"/>
      <c r="Z32" s="40"/>
      <c r="AA32" s="39"/>
      <c r="AB32" s="41"/>
      <c r="AC32" s="39"/>
      <c r="AD32" s="39"/>
      <c r="AE32" s="39"/>
      <c r="AF32" s="40"/>
      <c r="AG32" s="39"/>
      <c r="AH32" s="41"/>
      <c r="AI32" s="41"/>
      <c r="AJ32" s="41"/>
      <c r="AK32" s="39"/>
      <c r="AL32" s="41"/>
      <c r="AM32" s="41"/>
      <c r="AN32" s="41"/>
      <c r="AO32" s="39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62"/>
      <c r="BI32" s="263"/>
      <c r="BJ32" s="264"/>
      <c r="BK32" s="28"/>
      <c r="BL32" s="28"/>
      <c r="BM32" s="28"/>
      <c r="BN32" s="25"/>
      <c r="BQ32" s="222"/>
      <c r="BR32" s="223"/>
    </row>
    <row r="33" spans="1:70" ht="24.95" customHeight="1" x14ac:dyDescent="0.2">
      <c r="A33" s="49" t="s">
        <v>191</v>
      </c>
      <c r="B33" s="55" t="s">
        <v>274</v>
      </c>
      <c r="C33" s="53">
        <f>IF(D33="+",$C$2-COUNTIF($C$24:C32,"&gt;"&amp;0),"")</f>
        <v>15</v>
      </c>
      <c r="D33" s="53" t="s">
        <v>232</v>
      </c>
      <c r="J33" s="35"/>
      <c r="K33" s="35"/>
      <c r="L33" s="35"/>
      <c r="M33" s="35"/>
      <c r="N33" s="35"/>
      <c r="O33" s="35"/>
      <c r="P33" s="35"/>
      <c r="Q33" s="69" t="s">
        <v>255</v>
      </c>
      <c r="R33" s="35"/>
      <c r="S33" s="35"/>
      <c r="T33" s="35"/>
      <c r="U33" s="35"/>
      <c r="V33" s="35"/>
      <c r="W33" s="35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5"/>
      <c r="BQ33" s="224"/>
      <c r="BR33" s="225"/>
    </row>
    <row r="34" spans="1:70" ht="24.95" customHeight="1" x14ac:dyDescent="0.2">
      <c r="A34" s="49" t="s">
        <v>190</v>
      </c>
      <c r="B34" s="55" t="s">
        <v>274</v>
      </c>
      <c r="C34" s="53">
        <f>IF(D34="+",$C$2-COUNTIF($C$24:C33,"&gt;"&amp;0),"")</f>
        <v>14</v>
      </c>
      <c r="D34" s="53" t="s">
        <v>232</v>
      </c>
      <c r="F34" s="176" t="s">
        <v>244</v>
      </c>
      <c r="G34" s="176"/>
      <c r="H34" s="176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5"/>
      <c r="BQ34" s="219" t="s">
        <v>272</v>
      </c>
      <c r="BR34" s="219"/>
    </row>
    <row r="35" spans="1:70" ht="24.95" customHeight="1" x14ac:dyDescent="0.2">
      <c r="A35" s="49" t="s">
        <v>189</v>
      </c>
      <c r="B35" s="55" t="s">
        <v>274</v>
      </c>
      <c r="C35" s="53">
        <f>IF(D35="+",$C$2-COUNTIF($C$24:C34,"&gt;"&amp;0),"")</f>
        <v>13</v>
      </c>
      <c r="D35" s="53" t="s">
        <v>232</v>
      </c>
      <c r="F35" s="176"/>
      <c r="G35" s="176"/>
      <c r="H35" s="176"/>
      <c r="BQ35" s="219"/>
      <c r="BR35" s="219"/>
    </row>
    <row r="36" spans="1:70" ht="24.95" customHeight="1" x14ac:dyDescent="0.2">
      <c r="A36" s="49" t="s">
        <v>188</v>
      </c>
      <c r="B36" s="55" t="s">
        <v>274</v>
      </c>
      <c r="C36" s="53">
        <f>IF(D36="+",$C$2-COUNTIF($C$24:C35,"&gt;"&amp;0),"")</f>
        <v>12</v>
      </c>
      <c r="D36" s="53" t="s">
        <v>232</v>
      </c>
      <c r="F36" s="175" t="s">
        <v>238</v>
      </c>
      <c r="G36" s="175"/>
      <c r="H36" s="175"/>
      <c r="BQ36" s="219"/>
      <c r="BR36" s="219"/>
    </row>
    <row r="37" spans="1:70" ht="24.95" customHeight="1" x14ac:dyDescent="0.2">
      <c r="A37" s="49" t="s">
        <v>187</v>
      </c>
      <c r="B37" s="55" t="s">
        <v>274</v>
      </c>
      <c r="C37" s="53">
        <f>IF(D37="+",$C$2-COUNTIF($C$24:C36,"&gt;"&amp;0),"")</f>
        <v>11</v>
      </c>
      <c r="D37" s="53" t="s">
        <v>232</v>
      </c>
      <c r="E37" s="27">
        <v>7</v>
      </c>
      <c r="F37" s="175"/>
      <c r="G37" s="175"/>
      <c r="H37" s="175"/>
      <c r="BQ37" s="219"/>
      <c r="BR37" s="219"/>
    </row>
    <row r="38" spans="1:70" ht="24.95" customHeight="1" x14ac:dyDescent="0.2">
      <c r="A38" s="49" t="s">
        <v>186</v>
      </c>
      <c r="B38" s="55" t="s">
        <v>274</v>
      </c>
      <c r="C38" s="53">
        <f>IF(D38="+",$C$2-COUNTIF($C$24:C37,"&gt;"&amp;0),"")</f>
        <v>10</v>
      </c>
      <c r="D38" s="53" t="s">
        <v>232</v>
      </c>
      <c r="R38" s="266"/>
      <c r="S38" s="65"/>
      <c r="BQ38" s="219"/>
      <c r="BR38" s="219"/>
    </row>
    <row r="39" spans="1:70" ht="24.95" customHeight="1" x14ac:dyDescent="0.2">
      <c r="A39" s="49" t="s">
        <v>185</v>
      </c>
      <c r="B39" s="55" t="s">
        <v>274</v>
      </c>
      <c r="C39" s="53">
        <f>IF(D39="+",$C$2-COUNTIF($C$24:C38,"&gt;"&amp;0),"")</f>
        <v>9</v>
      </c>
      <c r="D39" s="53" t="s">
        <v>232</v>
      </c>
      <c r="F39" s="176" t="s">
        <v>245</v>
      </c>
      <c r="G39" s="176"/>
      <c r="H39" s="176"/>
      <c r="L39" s="268"/>
      <c r="M39" s="268"/>
      <c r="N39" s="268"/>
      <c r="R39" s="267"/>
      <c r="S39" s="66"/>
    </row>
    <row r="40" spans="1:70" ht="24.95" customHeight="1" x14ac:dyDescent="0.2">
      <c r="A40" s="49" t="s">
        <v>184</v>
      </c>
      <c r="B40" s="55" t="s">
        <v>274</v>
      </c>
      <c r="C40" s="53">
        <f>IF(D40="+",$C$2-COUNTIF($C$24:C39,"&gt;"&amp;0),"")</f>
        <v>8</v>
      </c>
      <c r="D40" s="53" t="s">
        <v>232</v>
      </c>
      <c r="F40" s="176"/>
      <c r="G40" s="176"/>
      <c r="H40" s="176"/>
      <c r="L40" s="268"/>
      <c r="M40" s="268"/>
      <c r="N40" s="268"/>
    </row>
    <row r="41" spans="1:70" ht="24.95" customHeight="1" x14ac:dyDescent="0.2">
      <c r="A41" s="49" t="s">
        <v>183</v>
      </c>
      <c r="B41" s="55" t="s">
        <v>274</v>
      </c>
      <c r="C41" s="53">
        <f>IF(D41="+",$C$2-COUNTIF($C$24:C40,"&gt;"&amp;0),"")</f>
        <v>7</v>
      </c>
      <c r="D41" s="53" t="s">
        <v>232</v>
      </c>
      <c r="F41" s="175" t="s">
        <v>238</v>
      </c>
      <c r="G41" s="175"/>
      <c r="H41" s="175"/>
      <c r="L41" s="268"/>
      <c r="M41" s="268"/>
      <c r="N41" s="268"/>
      <c r="R41" s="269"/>
      <c r="S41" s="67"/>
    </row>
    <row r="42" spans="1:70" ht="24.95" customHeight="1" x14ac:dyDescent="0.2">
      <c r="A42" s="49" t="s">
        <v>182</v>
      </c>
      <c r="B42" s="55" t="s">
        <v>274</v>
      </c>
      <c r="C42" s="53">
        <f>IF(D42="+",$C$2-COUNTIF($C$24:C41,"&gt;"&amp;0),"")</f>
        <v>6</v>
      </c>
      <c r="D42" s="53" t="s">
        <v>232</v>
      </c>
      <c r="E42" s="27">
        <v>8</v>
      </c>
      <c r="F42" s="175"/>
      <c r="G42" s="175"/>
      <c r="H42" s="175"/>
      <c r="L42" s="268"/>
      <c r="M42" s="268"/>
      <c r="N42" s="268"/>
      <c r="R42" s="269"/>
      <c r="S42" s="67"/>
    </row>
    <row r="43" spans="1:70" ht="24.95" customHeight="1" x14ac:dyDescent="0.2">
      <c r="A43" s="49" t="s">
        <v>179</v>
      </c>
      <c r="B43" s="55" t="s">
        <v>274</v>
      </c>
      <c r="C43" s="53">
        <f>IF(D43="+",$C$2-COUNTIF($C$24:C42,"&gt;"&amp;0),"")</f>
        <v>5</v>
      </c>
      <c r="D43" s="53" t="s">
        <v>232</v>
      </c>
      <c r="Q43" s="27"/>
      <c r="R43" s="269"/>
      <c r="S43" s="67"/>
      <c r="T43" s="27"/>
      <c r="BD43" s="265"/>
      <c r="BE43" s="28"/>
      <c r="BF43" s="265"/>
    </row>
    <row r="44" spans="1:70" ht="24.95" customHeight="1" x14ac:dyDescent="0.2">
      <c r="A44" s="49" t="s">
        <v>178</v>
      </c>
      <c r="B44" s="55" t="s">
        <v>274</v>
      </c>
      <c r="C44" s="53">
        <f>IF(D44="+",$C$2-COUNTIF($C$24:C43,"&gt;"&amp;0),"")</f>
        <v>4</v>
      </c>
      <c r="D44" s="53" t="s">
        <v>232</v>
      </c>
      <c r="R44" s="269"/>
      <c r="S44" s="67"/>
      <c r="BD44" s="265"/>
      <c r="BE44" s="28"/>
      <c r="BF44" s="265"/>
    </row>
    <row r="45" spans="1:70" ht="24.95" customHeight="1" x14ac:dyDescent="0.2">
      <c r="A45" s="50" t="s">
        <v>180</v>
      </c>
      <c r="B45" s="55" t="s">
        <v>274</v>
      </c>
      <c r="C45" s="53" t="str">
        <f>IF(D45="+",$C$2-COUNTIF($C$24:C44,"&gt;"&amp;0),"")</f>
        <v/>
      </c>
      <c r="D45" s="53"/>
      <c r="BD45" s="265"/>
      <c r="BE45" s="28"/>
      <c r="BF45" s="265"/>
    </row>
    <row r="46" spans="1:70" ht="24.95" customHeight="1" x14ac:dyDescent="0.2">
      <c r="A46" s="50" t="s">
        <v>181</v>
      </c>
      <c r="B46" s="55" t="s">
        <v>274</v>
      </c>
      <c r="C46" s="53" t="str">
        <f>IF(D46="+",$C$2-COUNTIF($C$24:C45,"&gt;"&amp;0),"")</f>
        <v/>
      </c>
      <c r="D46" s="53"/>
      <c r="BD46" s="265"/>
      <c r="BE46" s="28"/>
      <c r="BF46" s="265"/>
    </row>
    <row r="47" spans="1:70" ht="24.95" customHeight="1" x14ac:dyDescent="0.2">
      <c r="A47" s="49" t="s">
        <v>177</v>
      </c>
      <c r="B47" s="55" t="s">
        <v>274</v>
      </c>
      <c r="C47" s="53">
        <f>IF(D47="+",$C$3,"")</f>
        <v>20</v>
      </c>
      <c r="D47" s="53" t="s">
        <v>232</v>
      </c>
    </row>
    <row r="48" spans="1:70" ht="24.95" customHeight="1" x14ac:dyDescent="0.2">
      <c r="A48" s="49" t="s">
        <v>176</v>
      </c>
      <c r="B48" s="55" t="s">
        <v>274</v>
      </c>
      <c r="C48" s="53">
        <f>IF(D48="+",$C$3-COUNTIF($C$47:C47,"&gt;"&amp;0),"")</f>
        <v>19</v>
      </c>
      <c r="D48" s="53" t="s">
        <v>232</v>
      </c>
    </row>
    <row r="49" spans="1:4" ht="24.95" customHeight="1" x14ac:dyDescent="0.2">
      <c r="A49" s="49" t="s">
        <v>175</v>
      </c>
      <c r="B49" s="55" t="s">
        <v>274</v>
      </c>
      <c r="C49" s="53">
        <f>IF(D49="+",$C$3-COUNTIF($C$47:C48,"&gt;"&amp;0),"")</f>
        <v>18</v>
      </c>
      <c r="D49" s="53" t="s">
        <v>232</v>
      </c>
    </row>
    <row r="50" spans="1:4" ht="24.95" customHeight="1" x14ac:dyDescent="0.2">
      <c r="A50" s="49" t="s">
        <v>174</v>
      </c>
      <c r="B50" s="55" t="s">
        <v>274</v>
      </c>
      <c r="C50" s="53">
        <f>IF(D50="+",$C$3-COUNTIF($C$47:C49,"&gt;"&amp;0),"")</f>
        <v>17</v>
      </c>
      <c r="D50" s="53" t="s">
        <v>232</v>
      </c>
    </row>
    <row r="51" spans="1:4" ht="24.95" customHeight="1" x14ac:dyDescent="0.2">
      <c r="A51" s="49" t="s">
        <v>173</v>
      </c>
      <c r="B51" s="55" t="s">
        <v>274</v>
      </c>
      <c r="C51" s="53">
        <f>IF(D51="+",$C$3-COUNTIF($C$47:C50,"&gt;"&amp;0),"")</f>
        <v>16</v>
      </c>
      <c r="D51" s="53" t="s">
        <v>232</v>
      </c>
    </row>
    <row r="52" spans="1:4" ht="24.95" customHeight="1" x14ac:dyDescent="0.2">
      <c r="A52" s="49" t="s">
        <v>172</v>
      </c>
      <c r="B52" s="55" t="s">
        <v>274</v>
      </c>
      <c r="C52" s="53">
        <f>IF(D52="+",$C$3-COUNTIF($C$47:C51,"&gt;"&amp;0),"")</f>
        <v>15</v>
      </c>
      <c r="D52" s="53" t="s">
        <v>232</v>
      </c>
    </row>
    <row r="53" spans="1:4" ht="24.95" customHeight="1" x14ac:dyDescent="0.2">
      <c r="A53" s="49" t="s">
        <v>171</v>
      </c>
      <c r="B53" s="55" t="s">
        <v>274</v>
      </c>
      <c r="C53" s="53">
        <f>IF(D53="+",$C$3-COUNTIF($C$47:C52,"&gt;"&amp;0),"")</f>
        <v>14</v>
      </c>
      <c r="D53" s="53" t="s">
        <v>232</v>
      </c>
    </row>
    <row r="54" spans="1:4" ht="24.95" customHeight="1" x14ac:dyDescent="0.2">
      <c r="A54" s="50" t="s">
        <v>160</v>
      </c>
      <c r="B54" s="55" t="s">
        <v>274</v>
      </c>
      <c r="C54" s="53">
        <f>IF(D54="+",C53,"")</f>
        <v>14</v>
      </c>
      <c r="D54" s="53" t="s">
        <v>232</v>
      </c>
    </row>
    <row r="55" spans="1:4" ht="24.95" customHeight="1" x14ac:dyDescent="0.2">
      <c r="A55" s="50" t="s">
        <v>161</v>
      </c>
      <c r="B55" s="55" t="s">
        <v>274</v>
      </c>
      <c r="C55" s="53">
        <f>IF(AND(D55="+",D54="+"),C52,IF(D55="+",C53,""))</f>
        <v>15</v>
      </c>
      <c r="D55" s="53" t="s">
        <v>232</v>
      </c>
    </row>
    <row r="56" spans="1:4" ht="24.95" customHeight="1" x14ac:dyDescent="0.2">
      <c r="A56" s="49" t="s">
        <v>170</v>
      </c>
      <c r="B56" s="55" t="s">
        <v>274</v>
      </c>
      <c r="C56" s="53">
        <f>IF(D56="+",$C$3-COUNTIF($C$47:C53,"&gt;"&amp;0),"")</f>
        <v>13</v>
      </c>
      <c r="D56" s="53" t="s">
        <v>232</v>
      </c>
    </row>
    <row r="57" spans="1:4" ht="24.95" customHeight="1" x14ac:dyDescent="0.2">
      <c r="A57" s="49" t="s">
        <v>226</v>
      </c>
      <c r="B57" s="55" t="s">
        <v>274</v>
      </c>
      <c r="C57" s="53">
        <f>IF(D57="+",$C$3-COUNTIF($C$47:$C$53,"&gt;"&amp;0)-COUNTIF($C$56:C56,"&gt;"&amp;0),"")</f>
        <v>12</v>
      </c>
      <c r="D57" s="53" t="s">
        <v>232</v>
      </c>
    </row>
    <row r="58" spans="1:4" ht="24.95" customHeight="1" x14ac:dyDescent="0.2">
      <c r="A58" s="49" t="s">
        <v>225</v>
      </c>
      <c r="B58" s="55" t="s">
        <v>274</v>
      </c>
      <c r="C58" s="53">
        <f>IF(D58="+",$C$3-COUNTIF($C$47:$C$53,"&gt;"&amp;0)-COUNTIF($C$56:C57,"&gt;"&amp;0),"")</f>
        <v>11</v>
      </c>
      <c r="D58" s="53" t="s">
        <v>232</v>
      </c>
    </row>
    <row r="59" spans="1:4" ht="24.95" customHeight="1" x14ac:dyDescent="0.2">
      <c r="A59" s="50" t="s">
        <v>224</v>
      </c>
      <c r="B59" s="55" t="s">
        <v>274</v>
      </c>
      <c r="C59" s="53">
        <f>IF(D59="+",$C$3-COUNTIF($C$47:$C$53,"&gt;"&amp;0)-COUNTIF($C$56:C58,"&gt;"&amp;0),"")</f>
        <v>10</v>
      </c>
      <c r="D59" s="53" t="s">
        <v>232</v>
      </c>
    </row>
    <row r="60" spans="1:4" ht="24.95" customHeight="1" x14ac:dyDescent="0.2">
      <c r="A60" s="50" t="s">
        <v>223</v>
      </c>
      <c r="B60" s="55" t="s">
        <v>274</v>
      </c>
      <c r="C60" s="53">
        <f>IF(D60="+",$C$3-COUNTIF($C$47:$C$53,"&gt;"&amp;0)-COUNTIF($C$56:C59,"&gt;"&amp;0),"")</f>
        <v>9</v>
      </c>
      <c r="D60" s="53" t="s">
        <v>232</v>
      </c>
    </row>
    <row r="61" spans="1:4" ht="24.95" customHeight="1" x14ac:dyDescent="0.2">
      <c r="A61" s="49" t="s">
        <v>169</v>
      </c>
      <c r="B61" s="55" t="s">
        <v>274</v>
      </c>
      <c r="C61" s="53">
        <f>IF(D61="+",$C$3-COUNTIF($C$47:$C$53,"&gt;"&amp;0)-COUNTIF($C$56:C60,"&gt;"&amp;0),"")</f>
        <v>8</v>
      </c>
      <c r="D61" s="53" t="s">
        <v>232</v>
      </c>
    </row>
    <row r="62" spans="1:4" ht="24.95" customHeight="1" x14ac:dyDescent="0.2">
      <c r="A62" s="49" t="s">
        <v>168</v>
      </c>
      <c r="B62" s="55" t="s">
        <v>274</v>
      </c>
      <c r="C62" s="53">
        <f>IF(D62="+",$C$3-COUNTIF($C$47:$C$53,"&gt;"&amp;0)-COUNTIF($C$56:C61,"&gt;"&amp;0),"")</f>
        <v>7</v>
      </c>
      <c r="D62" s="53" t="s">
        <v>232</v>
      </c>
    </row>
    <row r="63" spans="1:4" ht="24.95" customHeight="1" x14ac:dyDescent="0.2">
      <c r="A63" s="49" t="s">
        <v>167</v>
      </c>
      <c r="B63" s="55" t="s">
        <v>274</v>
      </c>
      <c r="C63" s="53">
        <f>IF(D63="+",$C$3-COUNTIF($C$47:$C$53,"&gt;"&amp;0)-COUNTIF($C$56:C62,"&gt;"&amp;0),"")</f>
        <v>6</v>
      </c>
      <c r="D63" s="53" t="s">
        <v>232</v>
      </c>
    </row>
    <row r="64" spans="1:4" ht="24.95" customHeight="1" x14ac:dyDescent="0.2">
      <c r="A64" s="49" t="s">
        <v>166</v>
      </c>
      <c r="B64" s="55" t="s">
        <v>274</v>
      </c>
      <c r="C64" s="53">
        <f>IF(D64="+",$C$3-COUNTIF($C$47:$C$53,"&gt;"&amp;0)-COUNTIF($C$56:C63,"&gt;"&amp;0),"")</f>
        <v>5</v>
      </c>
      <c r="D64" s="53" t="s">
        <v>232</v>
      </c>
    </row>
    <row r="65" spans="1:4" ht="24.95" customHeight="1" x14ac:dyDescent="0.2">
      <c r="A65" s="49" t="s">
        <v>165</v>
      </c>
      <c r="B65" s="55" t="s">
        <v>274</v>
      </c>
      <c r="C65" s="53">
        <f>IF(D65="+",$C$3-COUNTIF($C$47:$C$53,"&gt;"&amp;0)-COUNTIF($C$56:C64,"&gt;"&amp;0),"")</f>
        <v>4</v>
      </c>
      <c r="D65" s="53" t="s">
        <v>232</v>
      </c>
    </row>
    <row r="66" spans="1:4" ht="24.95" customHeight="1" x14ac:dyDescent="0.2">
      <c r="A66" s="49" t="s">
        <v>164</v>
      </c>
      <c r="B66" s="55" t="s">
        <v>274</v>
      </c>
      <c r="C66" s="53">
        <f>IF(D66="+",$C$3-COUNTIF($C$47:$C$53,"&gt;"&amp;0)-COUNTIF($C$56:C65,"&gt;"&amp;0),"")</f>
        <v>3</v>
      </c>
      <c r="D66" s="53" t="s">
        <v>232</v>
      </c>
    </row>
    <row r="67" spans="1:4" ht="24.95" customHeight="1" x14ac:dyDescent="0.2">
      <c r="A67" s="49" t="s">
        <v>163</v>
      </c>
      <c r="B67" s="55" t="s">
        <v>274</v>
      </c>
      <c r="C67" s="53">
        <f>IF(D67="+",$C$3-COUNTIF($C$47:$C$53,"&gt;"&amp;0)-COUNTIF($C$56:C66,"&gt;"&amp;0),"")</f>
        <v>2</v>
      </c>
      <c r="D67" s="53" t="s">
        <v>232</v>
      </c>
    </row>
    <row r="68" spans="1:4" ht="24.95" customHeight="1" x14ac:dyDescent="0.2">
      <c r="A68" s="49" t="s">
        <v>162</v>
      </c>
      <c r="B68" s="55" t="s">
        <v>274</v>
      </c>
      <c r="C68" s="53">
        <f>IF(D68="+",$C$3-COUNTIF($C$47:$C$53,"&gt;"&amp;0)-COUNTIF($C$56:C67,"&gt;"&amp;0),"")</f>
        <v>1</v>
      </c>
      <c r="D68" s="53" t="s">
        <v>232</v>
      </c>
    </row>
    <row r="69" spans="1:4" ht="24.95" customHeight="1" x14ac:dyDescent="0.2">
      <c r="A69" s="49" t="s">
        <v>159</v>
      </c>
      <c r="B69" s="55" t="s">
        <v>274</v>
      </c>
      <c r="C69" s="53" t="str">
        <f>IF(D69="+",$C$3-COUNTIF($C$47:$C$53,"&gt;"&amp;0)-COUNTIF($C$56:C68,"&gt;"&amp;0),"")</f>
        <v/>
      </c>
      <c r="D69" s="53"/>
    </row>
    <row r="70" spans="1:4" ht="24.95" customHeight="1" x14ac:dyDescent="0.2">
      <c r="A70" s="49" t="s">
        <v>158</v>
      </c>
      <c r="B70" s="55" t="s">
        <v>274</v>
      </c>
      <c r="C70" s="53" t="str">
        <f>IF(D70="+",$C$3-COUNTIF($C$47:$C$53,"&gt;"&amp;0)-COUNTIF($C$56:C69,"&gt;"&amp;0),"")</f>
        <v/>
      </c>
      <c r="D70" s="53"/>
    </row>
    <row r="71" spans="1:4" ht="24.95" customHeight="1" x14ac:dyDescent="0.2">
      <c r="A71" s="49" t="s">
        <v>157</v>
      </c>
      <c r="B71" s="55" t="s">
        <v>274</v>
      </c>
      <c r="C71" s="53" t="str">
        <f>IF(D71="+",$C$3-COUNTIF($C$47:$C$53,"&gt;"&amp;0)-COUNTIF($C$56:C70,"&gt;"&amp;0),"")</f>
        <v/>
      </c>
      <c r="D71" s="53"/>
    </row>
    <row r="72" spans="1:4" ht="24.95" customHeight="1" x14ac:dyDescent="0.2">
      <c r="A72" s="50" t="s">
        <v>15</v>
      </c>
      <c r="B72" s="55" t="s">
        <v>274</v>
      </c>
      <c r="C72" s="53" t="str">
        <f>IF(D72="+",$C$3-COUNTIF($C$47:$C$53,"&gt;"&amp;0)-COUNTIF($C$56:C71,"&gt;"&amp;0),"")</f>
        <v/>
      </c>
      <c r="D72" s="53"/>
    </row>
    <row r="73" spans="1:4" ht="24.95" customHeight="1" x14ac:dyDescent="0.2">
      <c r="A73" s="50" t="s">
        <v>155</v>
      </c>
      <c r="B73" s="55" t="s">
        <v>274</v>
      </c>
      <c r="C73" s="53" t="str">
        <f>IF(D73="+",$C$3-COUNTIF($C$47:$C$53,"&gt;"&amp;0)-COUNTIF($C$56:C72,"&gt;"&amp;0),"")</f>
        <v/>
      </c>
      <c r="D73" s="53"/>
    </row>
    <row r="74" spans="1:4" ht="24.95" customHeight="1" x14ac:dyDescent="0.2">
      <c r="A74" s="50" t="s">
        <v>156</v>
      </c>
      <c r="B74" s="55" t="s">
        <v>274</v>
      </c>
      <c r="C74" s="53" t="str">
        <f>IF(D74="+",$C$3-COUNTIF($C$47:$C$53,"&gt;"&amp;0)-COUNTIF($C$56:C73,"&gt;"&amp;0),"")</f>
        <v/>
      </c>
      <c r="D74" s="53"/>
    </row>
    <row r="75" spans="1:4" ht="24.95" customHeight="1" x14ac:dyDescent="0.2">
      <c r="A75" s="49" t="s">
        <v>218</v>
      </c>
      <c r="B75" s="55" t="s">
        <v>274</v>
      </c>
      <c r="C75" s="53" t="str">
        <f>IF(D75="+",$C$3-COUNTIF($C$47:$C$53,"&gt;"&amp;0)-COUNTIF($C$56:C74,"&gt;"&amp;0),"")</f>
        <v/>
      </c>
      <c r="D75" s="53"/>
    </row>
    <row r="76" spans="1:4" ht="24.95" customHeight="1" x14ac:dyDescent="0.2">
      <c r="A76" s="49" t="s">
        <v>219</v>
      </c>
      <c r="B76" s="55" t="s">
        <v>274</v>
      </c>
      <c r="C76" s="53" t="str">
        <f>IF(D76="+",$C$3-COUNTIF($C$47:$C$53,"&gt;"&amp;0)-COUNTIF($C$56:C75,"&gt;"&amp;0),"")</f>
        <v/>
      </c>
      <c r="D76" s="53"/>
    </row>
    <row r="77" spans="1:4" ht="24.95" customHeight="1" x14ac:dyDescent="0.2">
      <c r="A77" s="49" t="s">
        <v>220</v>
      </c>
      <c r="B77" s="55" t="s">
        <v>274</v>
      </c>
      <c r="C77" s="53" t="str">
        <f>IF(D77="+",$C$3-COUNTIF($C$47:$C$53,"&gt;"&amp;0)-COUNTIF($C$56:C76,"&gt;"&amp;0),"")</f>
        <v/>
      </c>
      <c r="D77" s="53"/>
    </row>
    <row r="78" spans="1:4" ht="24.95" customHeight="1" x14ac:dyDescent="0.2">
      <c r="A78" s="50" t="s">
        <v>153</v>
      </c>
      <c r="B78" s="55" t="s">
        <v>274</v>
      </c>
      <c r="C78" s="53" t="str">
        <f>IF(D78="+",$C$3-COUNTIF($C$47:$C$53,"&gt;"&amp;0)-COUNTIF($C$56:C77,"&gt;"&amp;0),"")</f>
        <v/>
      </c>
      <c r="D78" s="53"/>
    </row>
    <row r="79" spans="1:4" ht="24.95" customHeight="1" x14ac:dyDescent="0.2">
      <c r="A79" s="50" t="s">
        <v>154</v>
      </c>
      <c r="B79" s="55" t="s">
        <v>274</v>
      </c>
      <c r="C79" s="53" t="str">
        <f>IF(D79="+",$C$3-COUNTIF($C$47:$C$53,"&gt;"&amp;0)-COUNTIF($C$56:C78,"&gt;"&amp;0),"")</f>
        <v/>
      </c>
      <c r="D79" s="53"/>
    </row>
    <row r="93" spans="1:1" ht="24.95" customHeight="1" x14ac:dyDescent="0.2">
      <c r="A93" s="47" t="s">
        <v>237</v>
      </c>
    </row>
    <row r="94" spans="1:1" ht="24.95" customHeight="1" x14ac:dyDescent="0.2">
      <c r="A94" s="47" t="s">
        <v>238</v>
      </c>
    </row>
  </sheetData>
  <mergeCells count="95">
    <mergeCell ref="AW6:AY7"/>
    <mergeCell ref="T6:W7"/>
    <mergeCell ref="Y6:AA7"/>
    <mergeCell ref="AC6:AE7"/>
    <mergeCell ref="K3:O3"/>
    <mergeCell ref="AG6:AI7"/>
    <mergeCell ref="AK6:AM7"/>
    <mergeCell ref="AO6:AQ7"/>
    <mergeCell ref="AE1:AS2"/>
    <mergeCell ref="K2:L2"/>
    <mergeCell ref="M2:O2"/>
    <mergeCell ref="K7:L7"/>
    <mergeCell ref="AC4:AO4"/>
    <mergeCell ref="AS6:AU7"/>
    <mergeCell ref="F4:H5"/>
    <mergeCell ref="K4:L4"/>
    <mergeCell ref="M4:N4"/>
    <mergeCell ref="F6:H7"/>
    <mergeCell ref="K6:L6"/>
    <mergeCell ref="M6:N8"/>
    <mergeCell ref="F21:H22"/>
    <mergeCell ref="AC22:AD23"/>
    <mergeCell ref="F9:H10"/>
    <mergeCell ref="Y9:Z10"/>
    <mergeCell ref="AC9:AD10"/>
    <mergeCell ref="F11:H12"/>
    <mergeCell ref="P8:Q11"/>
    <mergeCell ref="T12:W13"/>
    <mergeCell ref="Y12:AA13"/>
    <mergeCell ref="AC12:AE13"/>
    <mergeCell ref="F14:H15"/>
    <mergeCell ref="K8:L8"/>
    <mergeCell ref="F16:H17"/>
    <mergeCell ref="R16:T17"/>
    <mergeCell ref="V16:W17"/>
    <mergeCell ref="Y16:Z17"/>
    <mergeCell ref="BB16:BC19"/>
    <mergeCell ref="F19:H20"/>
    <mergeCell ref="R19:T20"/>
    <mergeCell ref="V19:W20"/>
    <mergeCell ref="Y19:Z20"/>
    <mergeCell ref="F24:H25"/>
    <mergeCell ref="AC24:AD25"/>
    <mergeCell ref="AG24:AH25"/>
    <mergeCell ref="BH25:BJ26"/>
    <mergeCell ref="F26:H27"/>
    <mergeCell ref="AC26:AD27"/>
    <mergeCell ref="AG26:AH27"/>
    <mergeCell ref="L27:N29"/>
    <mergeCell ref="BH27:BJ28"/>
    <mergeCell ref="AC28:AD29"/>
    <mergeCell ref="AG28:AH29"/>
    <mergeCell ref="F29:H30"/>
    <mergeCell ref="BH29:BJ30"/>
    <mergeCell ref="K26:O26"/>
    <mergeCell ref="BG24:BK24"/>
    <mergeCell ref="F31:H32"/>
    <mergeCell ref="BH31:BJ32"/>
    <mergeCell ref="BD43:BD46"/>
    <mergeCell ref="BF43:BF46"/>
    <mergeCell ref="F34:H35"/>
    <mergeCell ref="F36:H37"/>
    <mergeCell ref="R38:R39"/>
    <mergeCell ref="F39:H40"/>
    <mergeCell ref="L39:N40"/>
    <mergeCell ref="F41:H42"/>
    <mergeCell ref="L41:N42"/>
    <mergeCell ref="R41:R44"/>
    <mergeCell ref="Q14:AA15"/>
    <mergeCell ref="AG22:AH23"/>
    <mergeCell ref="AO9:AP10"/>
    <mergeCell ref="AE11:AW11"/>
    <mergeCell ref="AG12:AI13"/>
    <mergeCell ref="AK12:AM13"/>
    <mergeCell ref="AO12:AQ13"/>
    <mergeCell ref="AS12:AU13"/>
    <mergeCell ref="AW12:AY13"/>
    <mergeCell ref="BI2:BJ6"/>
    <mergeCell ref="BF7:BM9"/>
    <mergeCell ref="BJ12:BL15"/>
    <mergeCell ref="BJ16:BL19"/>
    <mergeCell ref="BM16:BN19"/>
    <mergeCell ref="BM12:BN15"/>
    <mergeCell ref="BL2:BM6"/>
    <mergeCell ref="BF2:BG6"/>
    <mergeCell ref="BQ9:BR12"/>
    <mergeCell ref="BF14:BG17"/>
    <mergeCell ref="BF13:BG13"/>
    <mergeCell ref="BQ13:BR16"/>
    <mergeCell ref="BQ17:BR20"/>
    <mergeCell ref="BQ34:BR38"/>
    <mergeCell ref="BQ30:BR33"/>
    <mergeCell ref="BQ26:BR29"/>
    <mergeCell ref="BS26:BS29"/>
    <mergeCell ref="BQ21:BR25"/>
  </mergeCells>
  <conditionalFormatting sqref="D5:D79">
    <cfRule type="containsBlanks" dxfId="16" priority="13">
      <formula>LEN(TRIM(D5))=0</formula>
    </cfRule>
  </conditionalFormatting>
  <conditionalFormatting sqref="C2">
    <cfRule type="duplicateValues" dxfId="15" priority="12"/>
  </conditionalFormatting>
  <conditionalFormatting sqref="C3">
    <cfRule type="duplicateValues" dxfId="14" priority="11"/>
  </conditionalFormatting>
  <conditionalFormatting sqref="B5:B46">
    <cfRule type="duplicateValues" dxfId="13" priority="10"/>
  </conditionalFormatting>
  <conditionalFormatting sqref="B47:B53 B56:B79">
    <cfRule type="duplicateValues" dxfId="12" priority="9"/>
  </conditionalFormatting>
  <conditionalFormatting sqref="B5:B27">
    <cfRule type="containsBlanks" dxfId="11" priority="8">
      <formula>LEN(TRIM(B5))=0</formula>
    </cfRule>
  </conditionalFormatting>
  <conditionalFormatting sqref="B28:B79">
    <cfRule type="containsBlanks" dxfId="10" priority="7">
      <formula>LEN(TRIM(B28))=0</formula>
    </cfRule>
  </conditionalFormatting>
  <conditionalFormatting sqref="F6:H7">
    <cfRule type="expression" dxfId="9" priority="5">
      <formula>$F$6="Да"</formula>
    </cfRule>
    <cfRule type="expression" dxfId="8" priority="6">
      <formula>$F$6="Нет"</formula>
    </cfRule>
  </conditionalFormatting>
  <conditionalFormatting sqref="F11:H12">
    <cfRule type="expression" dxfId="7" priority="3">
      <formula>$F$11="Да"</formula>
    </cfRule>
    <cfRule type="expression" dxfId="6" priority="4">
      <formula>$F$11="Нет"</formula>
    </cfRule>
  </conditionalFormatting>
  <conditionalFormatting sqref="R38:S39">
    <cfRule type="expression" dxfId="5" priority="1">
      <formula>$F$16="Да"</formula>
    </cfRule>
    <cfRule type="expression" dxfId="4" priority="2">
      <formula>$F$16="Нет"</formula>
    </cfRule>
  </conditionalFormatting>
  <printOptions horizontalCentered="1" verticalCentered="1"/>
  <pageMargins left="0" right="0" top="0" bottom="0" header="0" footer="0"/>
  <pageSetup paperSize="9" scale="52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029F0-576E-4B6D-8773-90700ABB668E}">
  <sheetPr codeName="Лист5"/>
  <dimension ref="A1:N338"/>
  <sheetViews>
    <sheetView workbookViewId="0">
      <selection activeCell="O13" sqref="O13"/>
    </sheetView>
  </sheetViews>
  <sheetFormatPr defaultRowHeight="15" x14ac:dyDescent="0.25"/>
  <cols>
    <col min="1" max="1" width="12.85546875" style="1" customWidth="1"/>
    <col min="2" max="2" width="16.140625" style="93" customWidth="1"/>
    <col min="3" max="3" width="21.7109375" style="1" customWidth="1"/>
    <col min="4" max="4" width="14.28515625" style="1" customWidth="1"/>
    <col min="5" max="5" width="13.5703125" style="1" customWidth="1"/>
    <col min="6" max="6" width="16.42578125" style="1" customWidth="1"/>
    <col min="7" max="8" width="12.7109375" style="1" customWidth="1"/>
    <col min="9" max="9" width="12.7109375" style="94" customWidth="1"/>
    <col min="10" max="11" width="12.7109375" style="1" customWidth="1"/>
    <col min="12" max="12" width="12.7109375" style="94" customWidth="1"/>
    <col min="13" max="13" width="14.28515625" style="1" customWidth="1"/>
    <col min="14" max="14" width="18" style="1" customWidth="1"/>
  </cols>
  <sheetData>
    <row r="1" spans="1:14" ht="30" customHeight="1" x14ac:dyDescent="0.25">
      <c r="A1" s="317" t="s">
        <v>275</v>
      </c>
      <c r="B1" s="318"/>
      <c r="C1" s="318"/>
      <c r="D1" s="318"/>
      <c r="E1" s="318"/>
      <c r="F1" s="318"/>
      <c r="G1" s="321" t="s">
        <v>276</v>
      </c>
      <c r="H1" s="322"/>
      <c r="I1" s="321" t="s">
        <v>255</v>
      </c>
      <c r="J1" s="322"/>
      <c r="K1" s="321" t="s">
        <v>277</v>
      </c>
      <c r="L1" s="322"/>
      <c r="M1" s="322"/>
      <c r="N1" s="97" t="s">
        <v>278</v>
      </c>
    </row>
    <row r="2" spans="1:14" x14ac:dyDescent="0.25">
      <c r="A2" s="319"/>
      <c r="B2" s="320"/>
      <c r="C2" s="320"/>
      <c r="D2" s="320"/>
      <c r="E2" s="320"/>
      <c r="F2" s="320"/>
      <c r="G2" s="96" t="s">
        <v>279</v>
      </c>
      <c r="H2" s="95" t="s">
        <v>280</v>
      </c>
      <c r="I2" s="96" t="s">
        <v>279</v>
      </c>
      <c r="J2" s="95" t="s">
        <v>280</v>
      </c>
      <c r="K2" s="96" t="s">
        <v>281</v>
      </c>
      <c r="L2" s="95" t="s">
        <v>282</v>
      </c>
      <c r="M2" s="95" t="s">
        <v>280</v>
      </c>
      <c r="N2" s="95" t="s">
        <v>280</v>
      </c>
    </row>
    <row r="3" spans="1:14" ht="25.5" x14ac:dyDescent="0.25">
      <c r="A3" s="82" t="s">
        <v>283</v>
      </c>
      <c r="B3" s="83" t="s">
        <v>284</v>
      </c>
      <c r="C3" s="84" t="s">
        <v>285</v>
      </c>
      <c r="D3" s="85" t="s">
        <v>286</v>
      </c>
      <c r="E3" s="84" t="s">
        <v>287</v>
      </c>
      <c r="F3" s="84" t="s">
        <v>288</v>
      </c>
      <c r="G3" s="82" t="s">
        <v>112</v>
      </c>
      <c r="H3" s="84" t="s">
        <v>112</v>
      </c>
      <c r="I3" s="86" t="s">
        <v>112</v>
      </c>
      <c r="J3" s="84" t="s">
        <v>112</v>
      </c>
      <c r="K3" s="82" t="s">
        <v>112</v>
      </c>
      <c r="L3" s="87" t="s">
        <v>112</v>
      </c>
      <c r="M3" s="84" t="s">
        <v>112</v>
      </c>
      <c r="N3" s="84" t="s">
        <v>112</v>
      </c>
    </row>
    <row r="4" spans="1:14" x14ac:dyDescent="0.25">
      <c r="A4" s="88"/>
      <c r="B4" s="89">
        <v>1</v>
      </c>
      <c r="C4" s="81"/>
      <c r="D4" s="81"/>
      <c r="E4" s="81"/>
      <c r="F4" s="108" t="s">
        <v>338</v>
      </c>
      <c r="G4" s="98">
        <v>45839</v>
      </c>
      <c r="H4" s="99">
        <v>45845</v>
      </c>
      <c r="I4" s="98">
        <v>45845</v>
      </c>
      <c r="J4" s="99">
        <v>45871</v>
      </c>
      <c r="K4" s="98">
        <v>45863</v>
      </c>
      <c r="L4" s="99">
        <v>45871</v>
      </c>
      <c r="M4" s="99">
        <v>45883</v>
      </c>
      <c r="N4" s="99">
        <v>45888</v>
      </c>
    </row>
    <row r="5" spans="1:14" x14ac:dyDescent="0.25">
      <c r="A5" s="88"/>
      <c r="B5" s="89">
        <v>2</v>
      </c>
      <c r="C5" s="81"/>
      <c r="D5" s="81"/>
      <c r="E5" s="81"/>
      <c r="F5" s="108" t="s">
        <v>338</v>
      </c>
      <c r="G5" s="98">
        <v>45840</v>
      </c>
      <c r="H5" s="99">
        <v>45846</v>
      </c>
      <c r="I5" s="98">
        <v>45846</v>
      </c>
      <c r="J5" s="99">
        <v>45872</v>
      </c>
      <c r="K5" s="98">
        <v>45864</v>
      </c>
      <c r="L5" s="99">
        <v>45872</v>
      </c>
      <c r="M5" s="99">
        <v>45884</v>
      </c>
      <c r="N5" s="99"/>
    </row>
    <row r="6" spans="1:14" x14ac:dyDescent="0.25">
      <c r="A6" s="88"/>
      <c r="B6" s="89">
        <v>3</v>
      </c>
      <c r="C6" s="81"/>
      <c r="D6" s="92"/>
      <c r="E6" s="81"/>
      <c r="F6" s="108" t="s">
        <v>339</v>
      </c>
      <c r="G6" s="98">
        <v>45841</v>
      </c>
      <c r="H6" s="99">
        <v>45847</v>
      </c>
      <c r="I6" s="98">
        <v>45847</v>
      </c>
      <c r="J6" s="99">
        <v>45873</v>
      </c>
      <c r="K6" s="98">
        <v>45865</v>
      </c>
      <c r="L6" s="99">
        <v>45873</v>
      </c>
      <c r="M6" s="99">
        <v>45885</v>
      </c>
      <c r="N6" s="99"/>
    </row>
    <row r="7" spans="1:14" x14ac:dyDescent="0.25">
      <c r="A7" s="88"/>
      <c r="B7" s="89">
        <v>4</v>
      </c>
      <c r="C7" s="81"/>
      <c r="D7" s="81"/>
      <c r="E7" s="81"/>
      <c r="F7" s="108" t="s">
        <v>338</v>
      </c>
      <c r="G7" s="98">
        <v>45842</v>
      </c>
      <c r="H7" s="99">
        <v>45848</v>
      </c>
      <c r="I7" s="98">
        <v>45848</v>
      </c>
      <c r="J7" s="99">
        <v>45874</v>
      </c>
      <c r="K7" s="98">
        <v>45866</v>
      </c>
      <c r="L7" s="99">
        <v>45874</v>
      </c>
      <c r="M7" s="99">
        <v>45886</v>
      </c>
      <c r="N7" s="99"/>
    </row>
    <row r="8" spans="1:14" x14ac:dyDescent="0.25">
      <c r="A8" s="88"/>
      <c r="B8" s="89">
        <v>5</v>
      </c>
      <c r="C8" s="81"/>
      <c r="D8" s="81"/>
      <c r="E8" s="81"/>
      <c r="F8" s="108" t="s">
        <v>338</v>
      </c>
      <c r="G8" s="98">
        <v>45843</v>
      </c>
      <c r="H8" s="99">
        <v>45849</v>
      </c>
      <c r="I8" s="98">
        <v>45849</v>
      </c>
      <c r="J8" s="99">
        <v>45875</v>
      </c>
      <c r="K8" s="98">
        <v>45867</v>
      </c>
      <c r="L8" s="99">
        <v>45875</v>
      </c>
      <c r="M8" s="99">
        <v>45887</v>
      </c>
      <c r="N8" s="99"/>
    </row>
    <row r="9" spans="1:14" x14ac:dyDescent="0.25">
      <c r="A9" s="88"/>
      <c r="B9" s="89">
        <v>6</v>
      </c>
      <c r="C9" s="81"/>
      <c r="D9" s="81"/>
      <c r="E9" s="81"/>
      <c r="F9" s="108" t="s">
        <v>338</v>
      </c>
      <c r="G9" s="98">
        <v>45844</v>
      </c>
      <c r="H9" s="99">
        <v>45850</v>
      </c>
      <c r="I9" s="98">
        <v>45850</v>
      </c>
      <c r="J9" s="99">
        <v>45876</v>
      </c>
      <c r="K9" s="98">
        <v>45868</v>
      </c>
      <c r="L9" s="99">
        <v>45876</v>
      </c>
      <c r="M9" s="99">
        <v>45888</v>
      </c>
      <c r="N9" s="99"/>
    </row>
    <row r="10" spans="1:14" x14ac:dyDescent="0.25">
      <c r="A10" s="88"/>
      <c r="B10" s="89">
        <v>7</v>
      </c>
      <c r="C10" s="81"/>
      <c r="D10" s="81"/>
      <c r="E10" s="81"/>
      <c r="F10" s="108" t="s">
        <v>338</v>
      </c>
      <c r="G10" s="98">
        <v>45845</v>
      </c>
      <c r="H10" s="99">
        <v>45851</v>
      </c>
      <c r="I10" s="98">
        <v>45851</v>
      </c>
      <c r="J10" s="99">
        <v>45877</v>
      </c>
      <c r="K10" s="98">
        <v>45869</v>
      </c>
      <c r="L10" s="99">
        <v>45877</v>
      </c>
      <c r="M10" s="99">
        <v>45889</v>
      </c>
      <c r="N10" s="99"/>
    </row>
    <row r="11" spans="1:14" x14ac:dyDescent="0.25">
      <c r="A11" s="88"/>
      <c r="B11" s="89">
        <v>8</v>
      </c>
      <c r="C11" s="81"/>
      <c r="D11" s="81"/>
      <c r="E11" s="81"/>
      <c r="F11" s="108" t="s">
        <v>340</v>
      </c>
      <c r="G11" s="98">
        <v>45846</v>
      </c>
      <c r="H11" s="99">
        <v>45852</v>
      </c>
      <c r="I11" s="98">
        <v>45852</v>
      </c>
      <c r="J11" s="99">
        <v>45878</v>
      </c>
      <c r="K11" s="98">
        <v>45870</v>
      </c>
      <c r="L11" s="99">
        <v>45878</v>
      </c>
      <c r="M11" s="99"/>
      <c r="N11" s="99"/>
    </row>
    <row r="12" spans="1:14" x14ac:dyDescent="0.25">
      <c r="A12" s="88"/>
      <c r="B12" s="89">
        <v>9</v>
      </c>
      <c r="C12" s="81"/>
      <c r="D12" s="81"/>
      <c r="E12" s="81"/>
      <c r="F12" s="108" t="s">
        <v>338</v>
      </c>
      <c r="G12" s="98">
        <v>45847</v>
      </c>
      <c r="H12" s="99">
        <v>45853</v>
      </c>
      <c r="I12" s="98">
        <v>45853</v>
      </c>
      <c r="J12" s="99">
        <v>45879</v>
      </c>
      <c r="K12" s="98">
        <v>45871</v>
      </c>
      <c r="L12" s="99">
        <v>45879</v>
      </c>
      <c r="M12" s="99"/>
      <c r="N12" s="99"/>
    </row>
    <row r="13" spans="1:14" x14ac:dyDescent="0.25">
      <c r="A13" s="88"/>
      <c r="B13" s="89">
        <v>10</v>
      </c>
      <c r="C13" s="81"/>
      <c r="D13" s="81"/>
      <c r="E13" s="81"/>
      <c r="F13" s="108" t="s">
        <v>341</v>
      </c>
      <c r="G13" s="98">
        <v>45848</v>
      </c>
      <c r="H13" s="99">
        <v>45854</v>
      </c>
      <c r="I13" s="98">
        <v>45854</v>
      </c>
      <c r="J13" s="99">
        <v>45880</v>
      </c>
      <c r="K13" s="98">
        <v>45872</v>
      </c>
      <c r="L13" s="99">
        <v>45880</v>
      </c>
      <c r="M13" s="99"/>
      <c r="N13" s="99"/>
    </row>
    <row r="14" spans="1:14" x14ac:dyDescent="0.25">
      <c r="A14" s="88"/>
      <c r="B14" s="89">
        <v>11</v>
      </c>
      <c r="C14" s="81"/>
      <c r="D14" s="81"/>
      <c r="E14" s="81"/>
      <c r="F14" s="108" t="s">
        <v>338</v>
      </c>
      <c r="G14" s="98">
        <v>45849</v>
      </c>
      <c r="H14" s="99">
        <v>45855</v>
      </c>
      <c r="I14" s="98">
        <v>45855</v>
      </c>
      <c r="J14" s="99">
        <v>45881</v>
      </c>
      <c r="K14" s="98">
        <v>45873</v>
      </c>
      <c r="L14" s="99">
        <v>45881</v>
      </c>
      <c r="M14" s="99"/>
      <c r="N14" s="99"/>
    </row>
    <row r="15" spans="1:14" x14ac:dyDescent="0.25">
      <c r="A15" s="88"/>
      <c r="B15" s="89">
        <v>12</v>
      </c>
      <c r="C15" s="81"/>
      <c r="D15" s="81"/>
      <c r="E15" s="81"/>
      <c r="F15" s="108" t="s">
        <v>339</v>
      </c>
      <c r="G15" s="98">
        <v>45850</v>
      </c>
      <c r="H15" s="99">
        <v>45856</v>
      </c>
      <c r="I15" s="98">
        <v>45856</v>
      </c>
      <c r="J15" s="99">
        <v>45882</v>
      </c>
      <c r="K15" s="98">
        <v>45874</v>
      </c>
      <c r="L15" s="99">
        <v>45882</v>
      </c>
      <c r="M15" s="99"/>
      <c r="N15" s="99"/>
    </row>
    <row r="16" spans="1:14" x14ac:dyDescent="0.25">
      <c r="A16" s="88"/>
      <c r="B16" s="89">
        <v>13</v>
      </c>
      <c r="C16" s="81"/>
      <c r="D16" s="81"/>
      <c r="E16" s="81"/>
      <c r="F16" s="108" t="s">
        <v>338</v>
      </c>
      <c r="G16" s="98">
        <v>45851</v>
      </c>
      <c r="H16" s="99">
        <v>45857</v>
      </c>
      <c r="I16" s="98">
        <v>45857</v>
      </c>
      <c r="J16" s="99">
        <v>45883</v>
      </c>
      <c r="K16" s="98">
        <v>45875</v>
      </c>
      <c r="L16" s="99">
        <v>45883</v>
      </c>
      <c r="M16" s="99"/>
      <c r="N16" s="99"/>
    </row>
    <row r="17" spans="1:14" x14ac:dyDescent="0.25">
      <c r="A17" s="88"/>
      <c r="B17" s="89">
        <v>14</v>
      </c>
      <c r="C17" s="81"/>
      <c r="D17" s="81"/>
      <c r="E17" s="81"/>
      <c r="F17" s="108" t="s">
        <v>338</v>
      </c>
      <c r="G17" s="98">
        <v>45852</v>
      </c>
      <c r="H17" s="99">
        <v>45858</v>
      </c>
      <c r="I17" s="98">
        <v>45858</v>
      </c>
      <c r="J17" s="99">
        <v>45884</v>
      </c>
      <c r="K17" s="98">
        <v>45876</v>
      </c>
      <c r="L17" s="99">
        <v>45884</v>
      </c>
      <c r="M17" s="99"/>
      <c r="N17" s="99"/>
    </row>
    <row r="18" spans="1:14" x14ac:dyDescent="0.25">
      <c r="A18" s="88"/>
      <c r="B18" s="89">
        <v>15</v>
      </c>
      <c r="C18" s="81"/>
      <c r="D18" s="81"/>
      <c r="E18" s="81"/>
      <c r="F18" s="108" t="s">
        <v>342</v>
      </c>
      <c r="G18" s="98">
        <v>45853</v>
      </c>
      <c r="H18" s="99">
        <v>45859</v>
      </c>
      <c r="I18" s="98">
        <v>45859</v>
      </c>
      <c r="J18" s="99">
        <v>45885</v>
      </c>
      <c r="K18" s="98">
        <v>45877</v>
      </c>
      <c r="L18" s="99">
        <v>45885</v>
      </c>
      <c r="M18" s="99"/>
      <c r="N18" s="99"/>
    </row>
    <row r="19" spans="1:14" x14ac:dyDescent="0.25">
      <c r="A19" s="88"/>
      <c r="B19" s="89">
        <v>16</v>
      </c>
      <c r="C19" s="81"/>
      <c r="D19" s="81"/>
      <c r="E19" s="81"/>
      <c r="F19" s="108" t="s">
        <v>338</v>
      </c>
      <c r="G19" s="98">
        <v>45854</v>
      </c>
      <c r="H19" s="99">
        <v>45860</v>
      </c>
      <c r="I19" s="98">
        <v>45860</v>
      </c>
      <c r="J19" s="99">
        <v>45886</v>
      </c>
      <c r="K19" s="98">
        <v>45878</v>
      </c>
      <c r="L19" s="99">
        <v>45886</v>
      </c>
      <c r="M19" s="99"/>
      <c r="N19" s="99"/>
    </row>
    <row r="20" spans="1:14" x14ac:dyDescent="0.25">
      <c r="A20" s="88"/>
      <c r="B20" s="89">
        <v>17</v>
      </c>
      <c r="C20" s="81"/>
      <c r="D20" s="81"/>
      <c r="E20" s="81"/>
      <c r="F20" s="108" t="s">
        <v>343</v>
      </c>
      <c r="G20" s="98">
        <v>45855</v>
      </c>
      <c r="H20" s="99">
        <v>45861</v>
      </c>
      <c r="I20" s="98">
        <v>45861</v>
      </c>
      <c r="J20" s="99">
        <v>45887</v>
      </c>
      <c r="K20" s="98">
        <v>45879</v>
      </c>
      <c r="L20" s="99">
        <v>45887</v>
      </c>
      <c r="M20" s="99"/>
      <c r="N20" s="99"/>
    </row>
    <row r="21" spans="1:14" x14ac:dyDescent="0.25">
      <c r="A21" s="88"/>
      <c r="B21" s="89">
        <v>18</v>
      </c>
      <c r="C21" s="81"/>
      <c r="D21" s="81"/>
      <c r="E21" s="81"/>
      <c r="F21" s="108" t="s">
        <v>338</v>
      </c>
      <c r="G21" s="98">
        <v>45856</v>
      </c>
      <c r="H21" s="99">
        <v>45862</v>
      </c>
      <c r="I21" s="98">
        <v>45862</v>
      </c>
      <c r="J21" s="99">
        <v>45888</v>
      </c>
      <c r="K21" s="98">
        <v>45880</v>
      </c>
      <c r="L21" s="99">
        <v>45888</v>
      </c>
      <c r="M21" s="99"/>
      <c r="N21" s="99"/>
    </row>
    <row r="22" spans="1:14" x14ac:dyDescent="0.25">
      <c r="A22" s="88"/>
      <c r="B22" s="89">
        <v>19</v>
      </c>
      <c r="C22" s="81"/>
      <c r="D22" s="81"/>
      <c r="E22" s="81"/>
      <c r="F22" s="108" t="s">
        <v>344</v>
      </c>
      <c r="G22" s="98">
        <v>45857</v>
      </c>
      <c r="H22" s="99">
        <v>45863</v>
      </c>
      <c r="I22" s="98">
        <v>45863</v>
      </c>
      <c r="J22" s="99"/>
      <c r="K22" s="98">
        <v>45881</v>
      </c>
      <c r="L22" s="99"/>
      <c r="M22" s="99"/>
      <c r="N22" s="99"/>
    </row>
    <row r="23" spans="1:14" x14ac:dyDescent="0.25">
      <c r="A23" s="88"/>
      <c r="B23" s="89">
        <v>20</v>
      </c>
      <c r="C23" s="81"/>
      <c r="D23" s="81"/>
      <c r="E23" s="81"/>
      <c r="F23" s="108" t="s">
        <v>340</v>
      </c>
      <c r="G23" s="98">
        <v>45858</v>
      </c>
      <c r="H23" s="99">
        <v>45864</v>
      </c>
      <c r="I23" s="98">
        <v>45864</v>
      </c>
      <c r="J23" s="99"/>
      <c r="K23" s="98">
        <v>45882</v>
      </c>
      <c r="L23" s="99"/>
      <c r="M23" s="99"/>
      <c r="N23" s="99"/>
    </row>
    <row r="24" spans="1:14" x14ac:dyDescent="0.25">
      <c r="A24" s="88"/>
      <c r="B24" s="89">
        <v>21</v>
      </c>
      <c r="C24" s="81"/>
      <c r="D24" s="81"/>
      <c r="E24" s="81"/>
      <c r="F24" s="108" t="s">
        <v>338</v>
      </c>
      <c r="G24" s="98">
        <v>45859</v>
      </c>
      <c r="H24" s="99">
        <v>45865</v>
      </c>
      <c r="I24" s="98">
        <v>45865</v>
      </c>
      <c r="J24" s="99"/>
      <c r="K24" s="98">
        <v>45883</v>
      </c>
      <c r="L24" s="99"/>
      <c r="M24" s="99"/>
      <c r="N24" s="99"/>
    </row>
    <row r="25" spans="1:14" x14ac:dyDescent="0.25">
      <c r="A25" s="88"/>
      <c r="B25" s="89">
        <v>22</v>
      </c>
      <c r="C25" s="81"/>
      <c r="D25" s="81"/>
      <c r="E25" s="81"/>
      <c r="F25" s="108" t="s">
        <v>341</v>
      </c>
      <c r="G25" s="98">
        <v>45860</v>
      </c>
      <c r="H25" s="99">
        <v>45866</v>
      </c>
      <c r="I25" s="98">
        <v>45866</v>
      </c>
      <c r="J25" s="99"/>
      <c r="K25" s="98">
        <v>45884</v>
      </c>
      <c r="L25" s="99"/>
      <c r="M25" s="99"/>
      <c r="N25" s="99"/>
    </row>
    <row r="26" spans="1:14" x14ac:dyDescent="0.25">
      <c r="A26" s="88"/>
      <c r="B26" s="89">
        <v>23</v>
      </c>
      <c r="C26" s="81"/>
      <c r="D26" s="81"/>
      <c r="E26" s="81"/>
      <c r="F26" s="108" t="s">
        <v>338</v>
      </c>
      <c r="G26" s="98">
        <v>45861</v>
      </c>
      <c r="H26" s="99">
        <v>45867</v>
      </c>
      <c r="I26" s="98">
        <v>45867</v>
      </c>
      <c r="J26" s="99"/>
      <c r="K26" s="98">
        <v>45885</v>
      </c>
      <c r="L26" s="99"/>
      <c r="M26" s="99"/>
      <c r="N26" s="99"/>
    </row>
    <row r="27" spans="1:14" x14ac:dyDescent="0.25">
      <c r="A27" s="88"/>
      <c r="B27" s="89">
        <v>24</v>
      </c>
      <c r="C27" s="81"/>
      <c r="D27" s="81"/>
      <c r="E27" s="81"/>
      <c r="F27" s="108" t="s">
        <v>345</v>
      </c>
      <c r="G27" s="98">
        <v>45862</v>
      </c>
      <c r="H27" s="99">
        <v>45868</v>
      </c>
      <c r="I27" s="98">
        <v>45868</v>
      </c>
      <c r="J27" s="99"/>
      <c r="K27" s="98">
        <v>45886</v>
      </c>
      <c r="L27" s="99"/>
      <c r="M27" s="99"/>
      <c r="N27" s="99"/>
    </row>
    <row r="28" spans="1:14" x14ac:dyDescent="0.25">
      <c r="A28" s="88"/>
      <c r="B28" s="89">
        <v>25</v>
      </c>
      <c r="C28" s="81"/>
      <c r="D28" s="81"/>
      <c r="E28" s="81"/>
      <c r="F28" s="108" t="s">
        <v>338</v>
      </c>
      <c r="G28" s="98">
        <v>45863</v>
      </c>
      <c r="H28" s="99">
        <v>45869</v>
      </c>
      <c r="I28" s="98">
        <v>45869</v>
      </c>
      <c r="J28" s="99"/>
      <c r="K28" s="98">
        <v>45887</v>
      </c>
      <c r="L28" s="99"/>
      <c r="M28" s="99"/>
      <c r="N28" s="99"/>
    </row>
    <row r="29" spans="1:14" x14ac:dyDescent="0.25">
      <c r="A29" s="88"/>
      <c r="B29" s="89">
        <v>26</v>
      </c>
      <c r="C29" s="81"/>
      <c r="D29" s="81"/>
      <c r="E29" s="81"/>
      <c r="F29" s="108" t="s">
        <v>344</v>
      </c>
      <c r="G29" s="98">
        <v>45864</v>
      </c>
      <c r="H29" s="99">
        <v>45870</v>
      </c>
      <c r="I29" s="98">
        <v>45870</v>
      </c>
      <c r="J29" s="99"/>
      <c r="K29" s="98">
        <v>45888</v>
      </c>
      <c r="L29" s="99"/>
      <c r="M29" s="99"/>
      <c r="N29" s="99"/>
    </row>
    <row r="30" spans="1:14" x14ac:dyDescent="0.25">
      <c r="A30" s="88"/>
      <c r="B30" s="89">
        <v>27</v>
      </c>
      <c r="C30" s="81"/>
      <c r="D30" s="81"/>
      <c r="E30" s="81"/>
      <c r="F30" s="108" t="s">
        <v>338</v>
      </c>
      <c r="G30" s="98">
        <v>45865</v>
      </c>
      <c r="H30" s="99">
        <v>45871</v>
      </c>
      <c r="I30" s="98">
        <v>45871</v>
      </c>
      <c r="J30" s="99"/>
      <c r="K30" s="98"/>
      <c r="L30" s="99"/>
      <c r="M30" s="99"/>
      <c r="N30" s="99"/>
    </row>
    <row r="31" spans="1:14" x14ac:dyDescent="0.25">
      <c r="A31" s="88"/>
      <c r="B31" s="89">
        <v>28</v>
      </c>
      <c r="C31" s="81"/>
      <c r="D31" s="81"/>
      <c r="E31" s="81"/>
      <c r="F31" s="108" t="s">
        <v>345</v>
      </c>
      <c r="G31" s="98">
        <v>45866</v>
      </c>
      <c r="H31" s="99">
        <v>45872</v>
      </c>
      <c r="I31" s="98">
        <v>45872</v>
      </c>
      <c r="J31" s="99"/>
      <c r="K31" s="98"/>
      <c r="L31" s="99"/>
      <c r="M31" s="99"/>
      <c r="N31" s="99"/>
    </row>
    <row r="32" spans="1:14" x14ac:dyDescent="0.25">
      <c r="A32" s="88"/>
      <c r="B32" s="89">
        <v>29</v>
      </c>
      <c r="C32" s="81"/>
      <c r="D32" s="81"/>
      <c r="E32" s="81"/>
      <c r="F32" s="108" t="s">
        <v>338</v>
      </c>
      <c r="G32" s="98">
        <v>45867</v>
      </c>
      <c r="H32" s="99">
        <v>45873</v>
      </c>
      <c r="I32" s="98">
        <v>45873</v>
      </c>
      <c r="J32" s="99"/>
      <c r="K32" s="98"/>
      <c r="L32" s="99"/>
      <c r="M32" s="99"/>
      <c r="N32" s="99"/>
    </row>
    <row r="33" spans="1:14" x14ac:dyDescent="0.25">
      <c r="A33" s="88"/>
      <c r="B33" s="89">
        <v>30</v>
      </c>
      <c r="C33" s="81"/>
      <c r="D33" s="81"/>
      <c r="E33" s="81"/>
      <c r="F33" s="108" t="s">
        <v>346</v>
      </c>
      <c r="G33" s="98">
        <v>45868</v>
      </c>
      <c r="H33" s="99">
        <v>45874</v>
      </c>
      <c r="I33" s="98">
        <v>45874</v>
      </c>
      <c r="J33" s="99"/>
      <c r="K33" s="98"/>
      <c r="L33" s="99"/>
      <c r="M33" s="99"/>
      <c r="N33" s="99"/>
    </row>
    <row r="34" spans="1:14" x14ac:dyDescent="0.25">
      <c r="A34" s="88"/>
      <c r="B34" s="89">
        <v>31</v>
      </c>
      <c r="C34" s="81"/>
      <c r="D34" s="81"/>
      <c r="E34" s="81"/>
      <c r="F34" s="108" t="s">
        <v>338</v>
      </c>
      <c r="G34" s="98">
        <v>45869</v>
      </c>
      <c r="H34" s="99">
        <v>45875</v>
      </c>
      <c r="I34" s="98">
        <v>45875</v>
      </c>
      <c r="J34" s="99"/>
      <c r="K34" s="98"/>
      <c r="L34" s="99"/>
      <c r="M34" s="99"/>
      <c r="N34" s="99"/>
    </row>
    <row r="35" spans="1:14" x14ac:dyDescent="0.25">
      <c r="A35" s="88"/>
      <c r="B35" s="89">
        <v>32</v>
      </c>
      <c r="C35" s="81"/>
      <c r="D35" s="81"/>
      <c r="E35" s="81"/>
      <c r="F35" s="108" t="s">
        <v>344</v>
      </c>
      <c r="G35" s="98">
        <v>45870</v>
      </c>
      <c r="H35" s="99">
        <v>45876</v>
      </c>
      <c r="I35" s="98">
        <v>45876</v>
      </c>
      <c r="J35" s="99"/>
      <c r="K35" s="98"/>
      <c r="L35" s="99"/>
      <c r="M35" s="99"/>
      <c r="N35" s="99"/>
    </row>
    <row r="36" spans="1:14" x14ac:dyDescent="0.25">
      <c r="A36" s="88"/>
      <c r="B36" s="89">
        <v>33</v>
      </c>
      <c r="C36" s="81"/>
      <c r="D36" s="81"/>
      <c r="E36" s="81"/>
      <c r="F36" s="108" t="s">
        <v>342</v>
      </c>
      <c r="G36" s="98">
        <v>45871</v>
      </c>
      <c r="H36" s="99">
        <v>45877</v>
      </c>
      <c r="I36" s="98">
        <v>45877</v>
      </c>
      <c r="J36" s="99"/>
      <c r="K36" s="98"/>
      <c r="L36" s="99"/>
      <c r="M36" s="99"/>
      <c r="N36" s="99"/>
    </row>
    <row r="37" spans="1:14" x14ac:dyDescent="0.25">
      <c r="A37" s="88"/>
      <c r="B37" s="89">
        <v>34</v>
      </c>
      <c r="C37" s="81"/>
      <c r="D37" s="81"/>
      <c r="E37" s="81"/>
      <c r="F37" s="108" t="s">
        <v>345</v>
      </c>
      <c r="G37" s="98">
        <v>45872</v>
      </c>
      <c r="H37" s="99">
        <v>45878</v>
      </c>
      <c r="I37" s="98">
        <v>45878</v>
      </c>
      <c r="J37" s="99"/>
      <c r="K37" s="98"/>
      <c r="L37" s="99"/>
      <c r="M37" s="99"/>
      <c r="N37" s="99"/>
    </row>
    <row r="38" spans="1:14" x14ac:dyDescent="0.25">
      <c r="A38" s="88"/>
      <c r="B38" s="89">
        <v>35</v>
      </c>
      <c r="C38" s="81"/>
      <c r="D38" s="81"/>
      <c r="E38" s="81"/>
      <c r="F38" s="108" t="s">
        <v>338</v>
      </c>
      <c r="G38" s="98">
        <v>45873</v>
      </c>
      <c r="H38" s="99">
        <v>45879</v>
      </c>
      <c r="I38" s="98">
        <v>45879</v>
      </c>
      <c r="J38" s="99"/>
      <c r="K38" s="98"/>
      <c r="L38" s="99"/>
      <c r="M38" s="99"/>
      <c r="N38" s="99"/>
    </row>
    <row r="39" spans="1:14" x14ac:dyDescent="0.25">
      <c r="A39" s="88"/>
      <c r="B39" s="89">
        <v>36</v>
      </c>
      <c r="C39" s="81"/>
      <c r="D39" s="81"/>
      <c r="E39" s="81"/>
      <c r="F39" s="108" t="s">
        <v>344</v>
      </c>
      <c r="G39" s="98">
        <v>45874</v>
      </c>
      <c r="H39" s="99">
        <v>45880</v>
      </c>
      <c r="I39" s="98">
        <v>45880</v>
      </c>
      <c r="J39" s="99"/>
      <c r="K39" s="98"/>
      <c r="L39" s="99"/>
      <c r="M39" s="99"/>
      <c r="N39" s="99"/>
    </row>
    <row r="40" spans="1:14" x14ac:dyDescent="0.25">
      <c r="A40" s="88"/>
      <c r="B40" s="89">
        <v>37</v>
      </c>
      <c r="C40" s="81"/>
      <c r="D40" s="81"/>
      <c r="E40" s="81"/>
      <c r="F40" s="108" t="s">
        <v>338</v>
      </c>
      <c r="G40" s="98">
        <v>45875</v>
      </c>
      <c r="H40" s="99">
        <v>45881</v>
      </c>
      <c r="I40" s="98">
        <v>45881</v>
      </c>
      <c r="J40" s="99"/>
      <c r="K40" s="98"/>
      <c r="L40" s="99"/>
      <c r="M40" s="99"/>
      <c r="N40" s="99"/>
    </row>
    <row r="41" spans="1:14" x14ac:dyDescent="0.25">
      <c r="A41" s="88"/>
      <c r="B41" s="89">
        <v>38</v>
      </c>
      <c r="C41" s="81"/>
      <c r="D41" s="81"/>
      <c r="E41" s="81"/>
      <c r="F41" s="108" t="s">
        <v>340</v>
      </c>
      <c r="G41" s="98">
        <v>45876</v>
      </c>
      <c r="H41" s="99">
        <v>45882</v>
      </c>
      <c r="I41" s="98">
        <v>45882</v>
      </c>
      <c r="J41" s="99"/>
      <c r="K41" s="98"/>
      <c r="L41" s="99"/>
      <c r="M41" s="99"/>
      <c r="N41" s="99"/>
    </row>
    <row r="42" spans="1:14" x14ac:dyDescent="0.25">
      <c r="A42" s="88"/>
      <c r="B42" s="89">
        <v>39</v>
      </c>
      <c r="C42" s="81"/>
      <c r="D42" s="81"/>
      <c r="E42" s="81"/>
      <c r="F42" s="108" t="s">
        <v>345</v>
      </c>
      <c r="G42" s="98">
        <v>45877</v>
      </c>
      <c r="H42" s="99">
        <v>45883</v>
      </c>
      <c r="I42" s="98">
        <v>45883</v>
      </c>
      <c r="J42" s="99"/>
      <c r="K42" s="98"/>
      <c r="L42" s="99"/>
      <c r="M42" s="99"/>
      <c r="N42" s="99"/>
    </row>
    <row r="43" spans="1:14" x14ac:dyDescent="0.25">
      <c r="A43" s="88"/>
      <c r="B43" s="89">
        <v>40</v>
      </c>
      <c r="C43" s="81"/>
      <c r="D43" s="81"/>
      <c r="E43" s="81"/>
      <c r="F43" s="108" t="s">
        <v>338</v>
      </c>
      <c r="G43" s="98">
        <v>45878</v>
      </c>
      <c r="H43" s="99">
        <v>45884</v>
      </c>
      <c r="I43" s="98">
        <v>45884</v>
      </c>
      <c r="J43" s="99"/>
      <c r="K43" s="98"/>
      <c r="L43" s="99"/>
      <c r="M43" s="99"/>
      <c r="N43" s="99"/>
    </row>
    <row r="44" spans="1:14" x14ac:dyDescent="0.25">
      <c r="A44" s="88"/>
      <c r="B44" s="89">
        <v>41</v>
      </c>
      <c r="C44" s="81"/>
      <c r="D44" s="81"/>
      <c r="E44" s="81"/>
      <c r="F44" s="108" t="s">
        <v>344</v>
      </c>
      <c r="G44" s="98">
        <v>45879</v>
      </c>
      <c r="H44" s="99">
        <v>45885</v>
      </c>
      <c r="I44" s="98">
        <v>45885</v>
      </c>
      <c r="J44" s="99"/>
      <c r="K44" s="98"/>
      <c r="L44" s="99"/>
      <c r="M44" s="99"/>
      <c r="N44" s="99"/>
    </row>
    <row r="45" spans="1:14" x14ac:dyDescent="0.25">
      <c r="A45" s="88"/>
      <c r="B45" s="89">
        <v>42</v>
      </c>
      <c r="C45" s="81"/>
      <c r="D45" s="81"/>
      <c r="E45" s="81"/>
      <c r="F45" s="108" t="s">
        <v>338</v>
      </c>
      <c r="G45" s="98">
        <v>45880</v>
      </c>
      <c r="H45" s="99">
        <v>45886</v>
      </c>
      <c r="I45" s="98">
        <v>45886</v>
      </c>
      <c r="J45" s="99"/>
      <c r="K45" s="98"/>
      <c r="L45" s="99"/>
      <c r="M45" s="99"/>
      <c r="N45" s="99"/>
    </row>
    <row r="46" spans="1:14" x14ac:dyDescent="0.25">
      <c r="A46" s="88"/>
      <c r="B46" s="89">
        <v>43</v>
      </c>
      <c r="C46" s="81"/>
      <c r="D46" s="81"/>
      <c r="E46" s="81"/>
      <c r="F46" s="108" t="s">
        <v>341</v>
      </c>
      <c r="G46" s="98">
        <v>45881</v>
      </c>
      <c r="H46" s="99">
        <v>45887</v>
      </c>
      <c r="I46" s="98">
        <v>45887</v>
      </c>
      <c r="J46" s="99"/>
      <c r="K46" s="98"/>
      <c r="L46" s="99"/>
      <c r="M46" s="99"/>
      <c r="N46" s="99"/>
    </row>
    <row r="47" spans="1:14" x14ac:dyDescent="0.25">
      <c r="A47" s="88"/>
      <c r="B47" s="89">
        <v>44</v>
      </c>
      <c r="C47" s="81"/>
      <c r="D47" s="81"/>
      <c r="E47" s="81"/>
      <c r="F47" s="108" t="s">
        <v>345</v>
      </c>
      <c r="G47" s="98">
        <v>45882</v>
      </c>
      <c r="H47" s="99">
        <v>45888</v>
      </c>
      <c r="I47" s="98">
        <v>45888</v>
      </c>
      <c r="J47" s="99"/>
      <c r="K47" s="98"/>
      <c r="L47" s="99"/>
      <c r="M47" s="99"/>
      <c r="N47" s="99"/>
    </row>
    <row r="48" spans="1:14" x14ac:dyDescent="0.25">
      <c r="A48" s="88"/>
      <c r="B48" s="89">
        <v>45</v>
      </c>
      <c r="C48" s="81"/>
      <c r="D48" s="81"/>
      <c r="E48" s="81"/>
      <c r="F48" s="108" t="s">
        <v>338</v>
      </c>
      <c r="G48" s="98">
        <v>45883</v>
      </c>
      <c r="H48" s="99"/>
      <c r="I48" s="98"/>
      <c r="J48" s="99"/>
      <c r="K48" s="98"/>
      <c r="L48" s="99"/>
      <c r="M48" s="99"/>
      <c r="N48" s="99"/>
    </row>
    <row r="49" spans="1:14" x14ac:dyDescent="0.25">
      <c r="A49" s="88"/>
      <c r="B49" s="89">
        <v>46</v>
      </c>
      <c r="C49" s="81"/>
      <c r="D49" s="81"/>
      <c r="E49" s="81"/>
      <c r="F49" s="108" t="s">
        <v>344</v>
      </c>
      <c r="G49" s="98">
        <v>45884</v>
      </c>
      <c r="H49" s="99"/>
      <c r="I49" s="98"/>
      <c r="J49" s="99"/>
      <c r="K49" s="98"/>
      <c r="L49" s="99"/>
      <c r="M49" s="99"/>
      <c r="N49" s="99"/>
    </row>
    <row r="50" spans="1:14" x14ac:dyDescent="0.25">
      <c r="A50" s="88"/>
      <c r="B50" s="89">
        <v>47</v>
      </c>
      <c r="C50" s="81"/>
      <c r="D50" s="81"/>
      <c r="E50" s="81"/>
      <c r="F50" s="108" t="s">
        <v>338</v>
      </c>
      <c r="G50" s="98">
        <v>45885</v>
      </c>
      <c r="H50" s="99"/>
      <c r="I50" s="98"/>
      <c r="J50" s="99"/>
      <c r="K50" s="98"/>
      <c r="L50" s="99"/>
      <c r="M50" s="99"/>
      <c r="N50" s="99"/>
    </row>
    <row r="51" spans="1:14" x14ac:dyDescent="0.25">
      <c r="A51" s="88"/>
      <c r="B51" s="89">
        <v>48</v>
      </c>
      <c r="C51" s="81"/>
      <c r="D51" s="81"/>
      <c r="E51" s="81"/>
      <c r="F51" s="108" t="s">
        <v>339</v>
      </c>
      <c r="G51" s="98">
        <v>45886</v>
      </c>
      <c r="H51" s="99"/>
      <c r="I51" s="98"/>
      <c r="J51" s="99"/>
      <c r="K51" s="98"/>
      <c r="L51" s="99"/>
      <c r="M51" s="99"/>
      <c r="N51" s="99"/>
    </row>
    <row r="52" spans="1:14" x14ac:dyDescent="0.25">
      <c r="A52" s="88"/>
      <c r="B52" s="89">
        <v>49</v>
      </c>
      <c r="C52" s="81"/>
      <c r="D52" s="81"/>
      <c r="E52" s="81"/>
      <c r="F52" s="108" t="s">
        <v>338</v>
      </c>
      <c r="G52" s="98">
        <v>45887</v>
      </c>
      <c r="H52" s="99"/>
      <c r="I52" s="98"/>
      <c r="J52" s="99"/>
      <c r="K52" s="98"/>
      <c r="L52" s="99"/>
      <c r="M52" s="99"/>
      <c r="N52" s="99"/>
    </row>
    <row r="53" spans="1:14" x14ac:dyDescent="0.25">
      <c r="A53" s="88"/>
      <c r="B53" s="89">
        <v>50</v>
      </c>
      <c r="C53" s="81"/>
      <c r="D53" s="81"/>
      <c r="E53" s="81"/>
      <c r="F53" s="108" t="s">
        <v>344</v>
      </c>
      <c r="G53" s="98">
        <v>45888</v>
      </c>
      <c r="H53" s="99"/>
      <c r="I53" s="98"/>
      <c r="J53" s="99"/>
      <c r="K53" s="98"/>
      <c r="L53" s="99"/>
      <c r="M53" s="99"/>
      <c r="N53" s="99"/>
    </row>
    <row r="54" spans="1:14" x14ac:dyDescent="0.25">
      <c r="A54" s="88"/>
      <c r="B54" s="89"/>
      <c r="C54" s="81"/>
      <c r="D54" s="81"/>
      <c r="E54" s="81"/>
      <c r="F54" s="108" t="s">
        <v>338</v>
      </c>
      <c r="G54" s="88"/>
      <c r="H54" s="81"/>
      <c r="I54" s="90"/>
      <c r="J54" s="81"/>
      <c r="K54" s="88"/>
      <c r="L54" s="91"/>
      <c r="M54" s="81"/>
      <c r="N54" s="81"/>
    </row>
    <row r="55" spans="1:14" x14ac:dyDescent="0.25">
      <c r="A55" s="88"/>
      <c r="B55" s="89"/>
      <c r="C55" s="81"/>
      <c r="D55" s="81"/>
      <c r="E55" s="81"/>
      <c r="F55" s="108" t="s">
        <v>345</v>
      </c>
      <c r="G55" s="88"/>
      <c r="H55" s="81"/>
      <c r="I55" s="90"/>
      <c r="J55" s="81"/>
      <c r="K55" s="88"/>
      <c r="L55" s="91"/>
      <c r="M55" s="81"/>
      <c r="N55" s="81"/>
    </row>
    <row r="56" spans="1:14" x14ac:dyDescent="0.25">
      <c r="A56" s="88"/>
      <c r="B56" s="89"/>
      <c r="C56" s="81"/>
      <c r="D56" s="81"/>
      <c r="E56" s="81"/>
      <c r="F56" s="108" t="s">
        <v>347</v>
      </c>
      <c r="G56" s="88"/>
      <c r="H56" s="81"/>
      <c r="I56" s="90"/>
      <c r="J56" s="81"/>
      <c r="K56" s="88"/>
      <c r="L56" s="91"/>
      <c r="M56" s="81"/>
      <c r="N56" s="81"/>
    </row>
    <row r="57" spans="1:14" x14ac:dyDescent="0.25">
      <c r="A57" s="88"/>
      <c r="B57" s="89"/>
      <c r="C57" s="81"/>
      <c r="D57" s="81"/>
      <c r="E57" s="81"/>
      <c r="F57" s="108" t="s">
        <v>338</v>
      </c>
      <c r="G57" s="88"/>
      <c r="H57" s="81"/>
      <c r="I57" s="90"/>
      <c r="J57" s="81"/>
      <c r="K57" s="88"/>
      <c r="L57" s="91"/>
      <c r="M57" s="81"/>
      <c r="N57" s="81"/>
    </row>
    <row r="58" spans="1:14" x14ac:dyDescent="0.25">
      <c r="A58" s="88"/>
      <c r="B58" s="89"/>
      <c r="C58" s="81"/>
      <c r="D58" s="81"/>
      <c r="E58" s="81"/>
      <c r="F58" s="108" t="s">
        <v>344</v>
      </c>
      <c r="G58" s="88"/>
      <c r="H58" s="81"/>
      <c r="I58" s="90"/>
      <c r="J58" s="81"/>
      <c r="K58" s="88"/>
      <c r="L58" s="91"/>
      <c r="M58" s="81"/>
      <c r="N58" s="81"/>
    </row>
    <row r="59" spans="1:14" x14ac:dyDescent="0.25">
      <c r="A59" s="88"/>
      <c r="B59" s="89"/>
      <c r="C59" s="81"/>
      <c r="D59" s="81"/>
      <c r="E59" s="81"/>
      <c r="F59" s="81"/>
      <c r="G59" s="88"/>
      <c r="H59" s="81"/>
      <c r="I59" s="90"/>
      <c r="J59" s="81"/>
      <c r="K59" s="88"/>
      <c r="L59" s="91"/>
      <c r="M59" s="81"/>
      <c r="N59" s="81"/>
    </row>
    <row r="60" spans="1:14" x14ac:dyDescent="0.25">
      <c r="A60" s="88"/>
      <c r="B60" s="89"/>
      <c r="C60" s="81"/>
      <c r="D60" s="81"/>
      <c r="E60" s="81"/>
      <c r="F60" s="81"/>
      <c r="G60" s="88"/>
      <c r="H60" s="81"/>
      <c r="I60" s="90"/>
      <c r="J60" s="81"/>
      <c r="K60" s="88"/>
      <c r="L60" s="91"/>
      <c r="M60" s="81"/>
      <c r="N60" s="81"/>
    </row>
    <row r="61" spans="1:14" x14ac:dyDescent="0.25">
      <c r="A61" s="88"/>
      <c r="B61" s="89"/>
      <c r="C61" s="81"/>
      <c r="D61" s="81"/>
      <c r="E61" s="81"/>
      <c r="F61" s="81"/>
      <c r="G61" s="88"/>
      <c r="H61" s="81"/>
      <c r="I61" s="90"/>
      <c r="J61" s="81"/>
      <c r="K61" s="88"/>
      <c r="L61" s="91"/>
      <c r="M61" s="81"/>
      <c r="N61" s="81"/>
    </row>
    <row r="62" spans="1:14" x14ac:dyDescent="0.25">
      <c r="A62" s="88"/>
      <c r="B62" s="89"/>
      <c r="C62" s="81"/>
      <c r="D62" s="81"/>
      <c r="E62" s="81"/>
      <c r="F62" s="81"/>
      <c r="G62" s="88"/>
      <c r="H62" s="81"/>
      <c r="I62" s="90"/>
      <c r="J62" s="81"/>
      <c r="K62" s="88"/>
      <c r="L62" s="91"/>
      <c r="M62" s="81"/>
      <c r="N62" s="81"/>
    </row>
    <row r="63" spans="1:14" x14ac:dyDescent="0.25">
      <c r="A63" s="88"/>
      <c r="B63" s="89"/>
      <c r="C63" s="81"/>
      <c r="D63" s="81"/>
      <c r="E63" s="81"/>
      <c r="F63" s="81"/>
      <c r="G63" s="88"/>
      <c r="H63" s="81"/>
      <c r="I63" s="90"/>
      <c r="J63" s="81"/>
      <c r="K63" s="88"/>
      <c r="L63" s="91"/>
      <c r="M63" s="81"/>
      <c r="N63" s="81"/>
    </row>
    <row r="64" spans="1:14" x14ac:dyDescent="0.25">
      <c r="A64" s="88"/>
      <c r="B64" s="89"/>
      <c r="C64" s="81"/>
      <c r="D64" s="81"/>
      <c r="E64" s="81"/>
      <c r="F64" s="81"/>
      <c r="G64" s="88"/>
      <c r="H64" s="81"/>
      <c r="I64" s="90"/>
      <c r="J64" s="81"/>
      <c r="K64" s="88"/>
      <c r="L64" s="91"/>
      <c r="M64" s="81"/>
      <c r="N64" s="81"/>
    </row>
    <row r="65" spans="1:14" x14ac:dyDescent="0.25">
      <c r="A65" s="88"/>
      <c r="B65" s="89"/>
      <c r="C65" s="81"/>
      <c r="D65" s="81"/>
      <c r="E65" s="81"/>
      <c r="F65" s="81"/>
      <c r="G65" s="88"/>
      <c r="H65" s="81"/>
      <c r="I65" s="90"/>
      <c r="J65" s="81"/>
      <c r="K65" s="88"/>
      <c r="L65" s="91"/>
      <c r="M65" s="81"/>
      <c r="N65" s="81"/>
    </row>
    <row r="66" spans="1:14" x14ac:dyDescent="0.25">
      <c r="A66" s="88"/>
      <c r="B66" s="89"/>
      <c r="C66" s="81"/>
      <c r="D66" s="81"/>
      <c r="E66" s="81"/>
      <c r="F66" s="81"/>
      <c r="G66" s="88"/>
      <c r="H66" s="81"/>
      <c r="I66" s="90"/>
      <c r="J66" s="81"/>
      <c r="K66" s="88"/>
      <c r="L66" s="91"/>
      <c r="M66" s="81"/>
      <c r="N66" s="81"/>
    </row>
    <row r="67" spans="1:14" x14ac:dyDescent="0.25">
      <c r="A67" s="88"/>
      <c r="B67" s="89"/>
      <c r="C67" s="81"/>
      <c r="D67" s="81"/>
      <c r="E67" s="81"/>
      <c r="F67" s="81"/>
      <c r="G67" s="88"/>
      <c r="H67" s="81"/>
      <c r="I67" s="90"/>
      <c r="J67" s="81"/>
      <c r="K67" s="88"/>
      <c r="L67" s="91"/>
      <c r="M67" s="81"/>
      <c r="N67" s="81"/>
    </row>
    <row r="68" spans="1:14" x14ac:dyDescent="0.25">
      <c r="A68" s="88"/>
      <c r="B68" s="89"/>
      <c r="C68" s="81"/>
      <c r="D68" s="81"/>
      <c r="E68" s="81"/>
      <c r="F68" s="81"/>
      <c r="G68" s="88"/>
      <c r="H68" s="81"/>
      <c r="I68" s="90"/>
      <c r="J68" s="81"/>
      <c r="K68" s="88"/>
      <c r="L68" s="91"/>
      <c r="M68" s="81"/>
      <c r="N68" s="81"/>
    </row>
    <row r="69" spans="1:14" x14ac:dyDescent="0.25">
      <c r="A69" s="88"/>
      <c r="B69" s="89"/>
      <c r="C69" s="81"/>
      <c r="D69" s="81"/>
      <c r="E69" s="81"/>
      <c r="F69" s="81"/>
      <c r="G69" s="88"/>
      <c r="H69" s="81"/>
      <c r="I69" s="90"/>
      <c r="J69" s="81"/>
      <c r="K69" s="88"/>
      <c r="L69" s="91"/>
      <c r="M69" s="81"/>
      <c r="N69" s="81"/>
    </row>
    <row r="70" spans="1:14" x14ac:dyDescent="0.25">
      <c r="A70" s="88"/>
      <c r="B70" s="89"/>
      <c r="C70" s="81"/>
      <c r="D70" s="81"/>
      <c r="E70" s="81"/>
      <c r="F70" s="81"/>
      <c r="G70" s="88"/>
      <c r="H70" s="81"/>
      <c r="I70" s="90"/>
      <c r="J70" s="81"/>
      <c r="K70" s="88"/>
      <c r="L70" s="91"/>
      <c r="M70" s="81"/>
      <c r="N70" s="81"/>
    </row>
    <row r="71" spans="1:14" x14ac:dyDescent="0.25">
      <c r="A71" s="88"/>
      <c r="B71" s="89"/>
      <c r="C71" s="81"/>
      <c r="D71" s="81"/>
      <c r="E71" s="81"/>
      <c r="F71" s="81"/>
      <c r="G71" s="88"/>
      <c r="H71" s="81"/>
      <c r="I71" s="90"/>
      <c r="J71" s="81"/>
      <c r="K71" s="88"/>
      <c r="L71" s="91"/>
      <c r="M71" s="81"/>
      <c r="N71" s="81"/>
    </row>
    <row r="72" spans="1:14" x14ac:dyDescent="0.25">
      <c r="A72" s="88"/>
      <c r="B72" s="89"/>
      <c r="C72" s="81"/>
      <c r="D72" s="81"/>
      <c r="E72" s="81"/>
      <c r="F72" s="81"/>
      <c r="G72" s="88"/>
      <c r="H72" s="81"/>
      <c r="I72" s="90"/>
      <c r="J72" s="81"/>
      <c r="K72" s="88"/>
      <c r="L72" s="91"/>
      <c r="M72" s="81"/>
      <c r="N72" s="81"/>
    </row>
    <row r="73" spans="1:14" x14ac:dyDescent="0.25">
      <c r="A73" s="88"/>
      <c r="B73" s="89"/>
      <c r="C73" s="81"/>
      <c r="D73" s="81"/>
      <c r="E73" s="81"/>
      <c r="F73" s="81"/>
      <c r="G73" s="88"/>
      <c r="H73" s="81"/>
      <c r="I73" s="90"/>
      <c r="J73" s="81"/>
      <c r="K73" s="88"/>
      <c r="L73" s="91"/>
      <c r="M73" s="81"/>
      <c r="N73" s="81"/>
    </row>
    <row r="74" spans="1:14" x14ac:dyDescent="0.25">
      <c r="A74" s="88"/>
      <c r="B74" s="89"/>
      <c r="C74" s="81"/>
      <c r="D74" s="81"/>
      <c r="E74" s="81"/>
      <c r="F74" s="81"/>
      <c r="G74" s="88"/>
      <c r="H74" s="81"/>
      <c r="I74" s="90"/>
      <c r="J74" s="81"/>
      <c r="K74" s="88"/>
      <c r="L74" s="91"/>
      <c r="M74" s="81"/>
      <c r="N74" s="81"/>
    </row>
    <row r="75" spans="1:14" x14ac:dyDescent="0.25">
      <c r="A75" s="88"/>
      <c r="B75" s="89"/>
      <c r="C75" s="81"/>
      <c r="D75" s="81"/>
      <c r="E75" s="81"/>
      <c r="F75" s="81"/>
      <c r="G75" s="88"/>
      <c r="H75" s="81"/>
      <c r="I75" s="90"/>
      <c r="J75" s="81"/>
      <c r="K75" s="88"/>
      <c r="L75" s="91"/>
      <c r="M75" s="81"/>
      <c r="N75" s="81"/>
    </row>
    <row r="76" spans="1:14" x14ac:dyDescent="0.25">
      <c r="A76" s="88"/>
      <c r="B76" s="89"/>
      <c r="C76" s="81"/>
      <c r="D76" s="81"/>
      <c r="E76" s="81"/>
      <c r="F76" s="81"/>
      <c r="G76" s="88"/>
      <c r="H76" s="81"/>
      <c r="I76" s="90"/>
      <c r="J76" s="81"/>
      <c r="K76" s="88"/>
      <c r="L76" s="91"/>
      <c r="M76" s="81"/>
      <c r="N76" s="81"/>
    </row>
    <row r="77" spans="1:14" x14ac:dyDescent="0.25">
      <c r="A77" s="88"/>
      <c r="B77" s="89"/>
      <c r="C77" s="81"/>
      <c r="D77" s="81"/>
      <c r="E77" s="81"/>
      <c r="F77" s="81"/>
      <c r="G77" s="88"/>
      <c r="H77" s="81"/>
      <c r="I77" s="90"/>
      <c r="J77" s="81"/>
      <c r="K77" s="88"/>
      <c r="L77" s="91"/>
      <c r="M77" s="81"/>
      <c r="N77" s="81"/>
    </row>
    <row r="78" spans="1:14" x14ac:dyDescent="0.25">
      <c r="A78" s="88"/>
      <c r="B78" s="89"/>
      <c r="C78" s="81"/>
      <c r="D78" s="81"/>
      <c r="E78" s="81"/>
      <c r="F78" s="81"/>
      <c r="G78" s="88"/>
      <c r="H78" s="81"/>
      <c r="I78" s="90"/>
      <c r="J78" s="81"/>
      <c r="K78" s="88"/>
      <c r="L78" s="91"/>
      <c r="M78" s="81"/>
      <c r="N78" s="81"/>
    </row>
    <row r="79" spans="1:14" x14ac:dyDescent="0.25">
      <c r="A79" s="88"/>
      <c r="B79" s="89"/>
      <c r="C79" s="81"/>
      <c r="D79" s="81"/>
      <c r="E79" s="81"/>
      <c r="F79" s="81"/>
      <c r="G79" s="88"/>
      <c r="H79" s="81"/>
      <c r="I79" s="90"/>
      <c r="J79" s="81"/>
      <c r="K79" s="88"/>
      <c r="L79" s="91"/>
      <c r="M79" s="81"/>
      <c r="N79" s="81"/>
    </row>
    <row r="80" spans="1:14" x14ac:dyDescent="0.25">
      <c r="A80" s="88"/>
      <c r="B80" s="89"/>
      <c r="C80" s="81"/>
      <c r="D80" s="81"/>
      <c r="E80" s="81"/>
      <c r="F80" s="81"/>
      <c r="G80" s="88"/>
      <c r="H80" s="81"/>
      <c r="I80" s="90"/>
      <c r="J80" s="81"/>
      <c r="K80" s="88"/>
      <c r="L80" s="91"/>
      <c r="M80" s="81"/>
      <c r="N80" s="81"/>
    </row>
    <row r="81" spans="1:14" x14ac:dyDescent="0.25">
      <c r="A81" s="88"/>
      <c r="B81" s="89"/>
      <c r="C81" s="81"/>
      <c r="D81" s="81"/>
      <c r="E81" s="81"/>
      <c r="F81" s="81"/>
      <c r="G81" s="88"/>
      <c r="H81" s="81"/>
      <c r="I81" s="90"/>
      <c r="J81" s="81"/>
      <c r="K81" s="88"/>
      <c r="L81" s="91"/>
      <c r="M81" s="81"/>
      <c r="N81" s="81"/>
    </row>
    <row r="82" spans="1:14" x14ac:dyDescent="0.25">
      <c r="A82" s="88"/>
      <c r="B82" s="89"/>
      <c r="C82" s="81"/>
      <c r="D82" s="81"/>
      <c r="E82" s="81"/>
      <c r="F82" s="81"/>
      <c r="G82" s="88"/>
      <c r="H82" s="81"/>
      <c r="I82" s="90"/>
      <c r="J82" s="81"/>
      <c r="K82" s="88"/>
      <c r="L82" s="91"/>
      <c r="M82" s="81"/>
      <c r="N82" s="81"/>
    </row>
    <row r="83" spans="1:14" x14ac:dyDescent="0.25">
      <c r="A83" s="88"/>
      <c r="B83" s="89"/>
      <c r="C83" s="81"/>
      <c r="D83" s="81"/>
      <c r="E83" s="81"/>
      <c r="F83" s="81"/>
      <c r="G83" s="88"/>
      <c r="H83" s="81"/>
      <c r="I83" s="90"/>
      <c r="J83" s="81"/>
      <c r="K83" s="88"/>
      <c r="L83" s="91"/>
      <c r="M83" s="81"/>
      <c r="N83" s="81"/>
    </row>
    <row r="84" spans="1:14" x14ac:dyDescent="0.25">
      <c r="A84" s="88"/>
      <c r="B84" s="89"/>
      <c r="C84" s="81"/>
      <c r="D84" s="81"/>
      <c r="E84" s="81"/>
      <c r="F84" s="81"/>
      <c r="G84" s="88"/>
      <c r="H84" s="81"/>
      <c r="I84" s="90"/>
      <c r="J84" s="81"/>
      <c r="K84" s="88"/>
      <c r="L84" s="91"/>
      <c r="M84" s="81"/>
      <c r="N84" s="81"/>
    </row>
    <row r="85" spans="1:14" x14ac:dyDescent="0.25">
      <c r="A85" s="88"/>
      <c r="B85" s="89"/>
      <c r="C85" s="81"/>
      <c r="D85" s="81"/>
      <c r="E85" s="81"/>
      <c r="F85" s="81"/>
      <c r="G85" s="88"/>
      <c r="H85" s="81"/>
      <c r="I85" s="90"/>
      <c r="J85" s="81"/>
      <c r="K85" s="88"/>
      <c r="L85" s="91"/>
      <c r="M85" s="81"/>
      <c r="N85" s="81"/>
    </row>
    <row r="86" spans="1:14" x14ac:dyDescent="0.25">
      <c r="A86" s="88"/>
      <c r="B86" s="89"/>
      <c r="C86" s="81"/>
      <c r="D86" s="81"/>
      <c r="E86" s="81"/>
      <c r="F86" s="81"/>
      <c r="G86" s="88"/>
      <c r="H86" s="81"/>
      <c r="I86" s="90"/>
      <c r="J86" s="81"/>
      <c r="K86" s="88"/>
      <c r="L86" s="91"/>
      <c r="M86" s="81"/>
      <c r="N86" s="81"/>
    </row>
    <row r="87" spans="1:14" x14ac:dyDescent="0.25">
      <c r="A87" s="88"/>
      <c r="B87" s="89"/>
      <c r="C87" s="81"/>
      <c r="D87" s="81"/>
      <c r="E87" s="81"/>
      <c r="F87" s="81"/>
      <c r="G87" s="88"/>
      <c r="H87" s="81"/>
      <c r="I87" s="90"/>
      <c r="J87" s="81"/>
      <c r="K87" s="88"/>
      <c r="L87" s="91"/>
      <c r="M87" s="81"/>
      <c r="N87" s="81"/>
    </row>
    <row r="88" spans="1:14" x14ac:dyDescent="0.25">
      <c r="A88" s="88"/>
      <c r="B88" s="89"/>
      <c r="C88" s="81"/>
      <c r="D88" s="81"/>
      <c r="E88" s="81"/>
      <c r="F88" s="81"/>
      <c r="G88" s="88"/>
      <c r="H88" s="81"/>
      <c r="I88" s="90"/>
      <c r="J88" s="81"/>
      <c r="K88" s="88"/>
      <c r="L88" s="91"/>
      <c r="M88" s="81"/>
      <c r="N88" s="81"/>
    </row>
    <row r="89" spans="1:14" x14ac:dyDescent="0.25">
      <c r="A89" s="88"/>
      <c r="B89" s="89"/>
      <c r="C89" s="81"/>
      <c r="D89" s="81"/>
      <c r="E89" s="81"/>
      <c r="F89" s="81"/>
      <c r="G89" s="88"/>
      <c r="H89" s="81"/>
      <c r="I89" s="90"/>
      <c r="J89" s="81"/>
      <c r="K89" s="88"/>
      <c r="L89" s="91"/>
      <c r="M89" s="81"/>
      <c r="N89" s="81"/>
    </row>
    <row r="90" spans="1:14" x14ac:dyDescent="0.25">
      <c r="A90" s="88"/>
      <c r="B90" s="89"/>
      <c r="C90" s="81"/>
      <c r="D90" s="81"/>
      <c r="E90" s="81"/>
      <c r="F90" s="81"/>
      <c r="G90" s="88"/>
      <c r="H90" s="81"/>
      <c r="I90" s="90"/>
      <c r="J90" s="81"/>
      <c r="K90" s="88"/>
      <c r="L90" s="91"/>
      <c r="M90" s="81"/>
      <c r="N90" s="81"/>
    </row>
    <row r="91" spans="1:14" x14ac:dyDescent="0.25">
      <c r="A91" s="88"/>
      <c r="B91" s="89"/>
      <c r="C91" s="81"/>
      <c r="D91" s="81"/>
      <c r="E91" s="81"/>
      <c r="F91" s="81"/>
      <c r="G91" s="88"/>
      <c r="H91" s="81"/>
      <c r="I91" s="90"/>
      <c r="J91" s="81"/>
      <c r="K91" s="88"/>
      <c r="L91" s="91"/>
      <c r="M91" s="81"/>
      <c r="N91" s="81"/>
    </row>
    <row r="92" spans="1:14" x14ac:dyDescent="0.25">
      <c r="A92" s="88"/>
      <c r="B92" s="89"/>
      <c r="C92" s="81"/>
      <c r="D92" s="81"/>
      <c r="E92" s="81"/>
      <c r="F92" s="81"/>
      <c r="G92" s="88"/>
      <c r="H92" s="81"/>
      <c r="I92" s="90"/>
      <c r="J92" s="81"/>
      <c r="K92" s="88"/>
      <c r="L92" s="91"/>
      <c r="M92" s="81"/>
      <c r="N92" s="81"/>
    </row>
    <row r="93" spans="1:14" x14ac:dyDescent="0.25">
      <c r="A93" s="88"/>
      <c r="B93" s="89"/>
      <c r="C93" s="81"/>
      <c r="D93" s="81"/>
      <c r="E93" s="81"/>
      <c r="F93" s="81"/>
      <c r="G93" s="88"/>
      <c r="H93" s="81"/>
      <c r="I93" s="90"/>
      <c r="J93" s="81"/>
      <c r="K93" s="88"/>
      <c r="L93" s="91"/>
      <c r="M93" s="81"/>
      <c r="N93" s="81"/>
    </row>
    <row r="94" spans="1:14" x14ac:dyDescent="0.25">
      <c r="A94" s="88"/>
      <c r="B94" s="89"/>
      <c r="C94" s="81"/>
      <c r="D94" s="81"/>
      <c r="E94" s="81"/>
      <c r="F94" s="81"/>
      <c r="G94" s="88"/>
      <c r="H94" s="81"/>
      <c r="I94" s="90"/>
      <c r="J94" s="81"/>
      <c r="K94" s="88"/>
      <c r="L94" s="91"/>
      <c r="M94" s="81"/>
      <c r="N94" s="81"/>
    </row>
    <row r="95" spans="1:14" x14ac:dyDescent="0.25">
      <c r="A95" s="88"/>
      <c r="B95" s="89"/>
      <c r="C95" s="81"/>
      <c r="D95" s="81"/>
      <c r="E95" s="81"/>
      <c r="F95" s="81"/>
      <c r="G95" s="88"/>
      <c r="H95" s="81"/>
      <c r="I95" s="90"/>
      <c r="J95" s="81"/>
      <c r="K95" s="88"/>
      <c r="L95" s="91"/>
      <c r="M95" s="81"/>
      <c r="N95" s="81"/>
    </row>
    <row r="96" spans="1:14" x14ac:dyDescent="0.25">
      <c r="A96" s="88"/>
      <c r="B96" s="89"/>
      <c r="C96" s="81"/>
      <c r="D96" s="81"/>
      <c r="E96" s="81"/>
      <c r="F96" s="81"/>
      <c r="G96" s="88"/>
      <c r="H96" s="81"/>
      <c r="I96" s="90"/>
      <c r="J96" s="81"/>
      <c r="K96" s="88"/>
      <c r="L96" s="91"/>
      <c r="M96" s="81"/>
      <c r="N96" s="81"/>
    </row>
    <row r="97" spans="1:14" x14ac:dyDescent="0.25">
      <c r="A97" s="88"/>
      <c r="B97" s="89"/>
      <c r="C97" s="81"/>
      <c r="D97" s="81"/>
      <c r="E97" s="81"/>
      <c r="F97" s="81"/>
      <c r="G97" s="88"/>
      <c r="H97" s="81"/>
      <c r="I97" s="90"/>
      <c r="J97" s="81"/>
      <c r="K97" s="88"/>
      <c r="L97" s="91"/>
      <c r="M97" s="81"/>
      <c r="N97" s="81"/>
    </row>
    <row r="98" spans="1:14" x14ac:dyDescent="0.25">
      <c r="A98" s="88"/>
      <c r="B98" s="89"/>
      <c r="C98" s="81"/>
      <c r="D98" s="81"/>
      <c r="E98" s="81"/>
      <c r="F98" s="81"/>
      <c r="G98" s="88"/>
      <c r="H98" s="81"/>
      <c r="I98" s="90"/>
      <c r="J98" s="81"/>
      <c r="K98" s="88"/>
      <c r="L98" s="91"/>
      <c r="M98" s="81"/>
      <c r="N98" s="81"/>
    </row>
    <row r="99" spans="1:14" x14ac:dyDescent="0.25">
      <c r="A99" s="88"/>
      <c r="B99" s="89"/>
      <c r="C99" s="81"/>
      <c r="D99" s="81"/>
      <c r="E99" s="81"/>
      <c r="F99" s="81"/>
      <c r="G99" s="88"/>
      <c r="H99" s="81"/>
      <c r="I99" s="90"/>
      <c r="J99" s="81"/>
      <c r="K99" s="88"/>
      <c r="L99" s="91"/>
      <c r="M99" s="81"/>
      <c r="N99" s="81"/>
    </row>
    <row r="100" spans="1:14" x14ac:dyDescent="0.25">
      <c r="A100" s="88"/>
      <c r="B100" s="89"/>
      <c r="C100" s="81"/>
      <c r="D100" s="81"/>
      <c r="E100" s="81"/>
      <c r="F100" s="81"/>
      <c r="G100" s="88"/>
      <c r="H100" s="81"/>
      <c r="I100" s="90"/>
      <c r="J100" s="81"/>
      <c r="K100" s="88"/>
      <c r="L100" s="91"/>
      <c r="M100" s="81"/>
      <c r="N100" s="81"/>
    </row>
    <row r="101" spans="1:14" x14ac:dyDescent="0.25">
      <c r="A101" s="88"/>
      <c r="B101" s="89"/>
      <c r="C101" s="81"/>
      <c r="D101" s="81"/>
      <c r="E101" s="81"/>
      <c r="F101" s="81"/>
      <c r="G101" s="88"/>
      <c r="H101" s="81"/>
      <c r="I101" s="90"/>
      <c r="J101" s="81"/>
      <c r="K101" s="88"/>
      <c r="L101" s="91"/>
      <c r="M101" s="81"/>
      <c r="N101" s="81"/>
    </row>
    <row r="102" spans="1:14" x14ac:dyDescent="0.25">
      <c r="A102" s="88"/>
      <c r="B102" s="89"/>
      <c r="C102" s="81"/>
      <c r="D102" s="81"/>
      <c r="E102" s="81"/>
      <c r="F102" s="81"/>
      <c r="G102" s="88"/>
      <c r="H102" s="81"/>
      <c r="I102" s="90"/>
      <c r="J102" s="81"/>
      <c r="K102" s="88"/>
      <c r="L102" s="91"/>
      <c r="M102" s="81"/>
      <c r="N102" s="81"/>
    </row>
    <row r="103" spans="1:14" x14ac:dyDescent="0.25">
      <c r="A103" s="88"/>
      <c r="B103" s="89"/>
      <c r="C103" s="81"/>
      <c r="D103" s="81"/>
      <c r="E103" s="81"/>
      <c r="F103" s="81"/>
      <c r="G103" s="88"/>
      <c r="H103" s="81"/>
      <c r="I103" s="90"/>
      <c r="J103" s="81"/>
      <c r="K103" s="88"/>
      <c r="L103" s="91"/>
      <c r="M103" s="81"/>
      <c r="N103" s="81"/>
    </row>
    <row r="104" spans="1:14" x14ac:dyDescent="0.25">
      <c r="A104" s="88"/>
      <c r="B104" s="89"/>
      <c r="C104" s="81"/>
      <c r="D104" s="81"/>
      <c r="E104" s="81"/>
      <c r="F104" s="81"/>
      <c r="G104" s="88"/>
      <c r="H104" s="81"/>
      <c r="I104" s="90"/>
      <c r="J104" s="81"/>
      <c r="K104" s="88"/>
      <c r="L104" s="91"/>
      <c r="M104" s="81"/>
      <c r="N104" s="81"/>
    </row>
    <row r="105" spans="1:14" x14ac:dyDescent="0.25">
      <c r="A105" s="88"/>
      <c r="B105" s="89"/>
      <c r="C105" s="81"/>
      <c r="D105" s="81"/>
      <c r="E105" s="81"/>
      <c r="F105" s="81"/>
      <c r="G105" s="88"/>
      <c r="H105" s="81"/>
      <c r="I105" s="90"/>
      <c r="J105" s="81"/>
      <c r="K105" s="88"/>
      <c r="L105" s="91"/>
      <c r="M105" s="81"/>
      <c r="N105" s="81"/>
    </row>
    <row r="106" spans="1:14" x14ac:dyDescent="0.25">
      <c r="A106" s="88"/>
      <c r="B106" s="89"/>
      <c r="C106" s="81"/>
      <c r="D106" s="81"/>
      <c r="E106" s="81"/>
      <c r="F106" s="81"/>
      <c r="G106" s="88"/>
      <c r="H106" s="81"/>
      <c r="I106" s="90"/>
      <c r="J106" s="81"/>
      <c r="K106" s="88"/>
      <c r="L106" s="91"/>
      <c r="M106" s="81"/>
      <c r="N106" s="81"/>
    </row>
    <row r="107" spans="1:14" x14ac:dyDescent="0.25">
      <c r="A107" s="88"/>
      <c r="B107" s="89"/>
      <c r="C107" s="81"/>
      <c r="D107" s="81"/>
      <c r="E107" s="81"/>
      <c r="F107" s="81"/>
      <c r="G107" s="88"/>
      <c r="H107" s="81"/>
      <c r="I107" s="90"/>
      <c r="J107" s="81"/>
      <c r="K107" s="88"/>
      <c r="L107" s="91"/>
      <c r="M107" s="81"/>
      <c r="N107" s="81"/>
    </row>
    <row r="108" spans="1:14" x14ac:dyDescent="0.25">
      <c r="A108" s="88"/>
      <c r="B108" s="89"/>
      <c r="C108" s="81"/>
      <c r="D108" s="81"/>
      <c r="E108" s="81"/>
      <c r="F108" s="81"/>
      <c r="G108" s="88"/>
      <c r="H108" s="81"/>
      <c r="I108" s="90"/>
      <c r="J108" s="81"/>
      <c r="K108" s="88"/>
      <c r="L108" s="91"/>
      <c r="M108" s="81"/>
      <c r="N108" s="81"/>
    </row>
    <row r="109" spans="1:14" x14ac:dyDescent="0.25">
      <c r="A109" s="88"/>
      <c r="B109" s="89"/>
      <c r="C109" s="81"/>
      <c r="D109" s="81"/>
      <c r="E109" s="81"/>
      <c r="F109" s="81"/>
      <c r="G109" s="88"/>
      <c r="H109" s="81"/>
      <c r="I109" s="90"/>
      <c r="J109" s="81"/>
      <c r="K109" s="88"/>
      <c r="L109" s="91"/>
      <c r="M109" s="81"/>
      <c r="N109" s="81"/>
    </row>
    <row r="110" spans="1:14" x14ac:dyDescent="0.25">
      <c r="A110" s="88"/>
      <c r="B110" s="89"/>
      <c r="C110" s="81"/>
      <c r="D110" s="81"/>
      <c r="E110" s="81"/>
      <c r="F110" s="81"/>
      <c r="G110" s="88"/>
      <c r="H110" s="81"/>
      <c r="I110" s="90"/>
      <c r="J110" s="81"/>
      <c r="K110" s="88"/>
      <c r="L110" s="91"/>
      <c r="M110" s="81"/>
      <c r="N110" s="81"/>
    </row>
    <row r="111" spans="1:14" x14ac:dyDescent="0.25">
      <c r="A111" s="88"/>
      <c r="B111" s="89"/>
      <c r="C111" s="81"/>
      <c r="D111" s="81"/>
      <c r="E111" s="81"/>
      <c r="F111" s="81"/>
      <c r="G111" s="88"/>
      <c r="H111" s="81"/>
      <c r="I111" s="90"/>
      <c r="J111" s="81"/>
      <c r="K111" s="88"/>
      <c r="L111" s="91"/>
      <c r="M111" s="81"/>
      <c r="N111" s="81"/>
    </row>
    <row r="112" spans="1:14" x14ac:dyDescent="0.25">
      <c r="A112" s="88"/>
      <c r="B112" s="89"/>
      <c r="C112" s="81"/>
      <c r="D112" s="81"/>
      <c r="E112" s="81"/>
      <c r="F112" s="81"/>
      <c r="G112" s="88"/>
      <c r="H112" s="81"/>
      <c r="I112" s="90"/>
      <c r="J112" s="81"/>
      <c r="K112" s="88"/>
      <c r="L112" s="91"/>
      <c r="M112" s="81"/>
      <c r="N112" s="81"/>
    </row>
    <row r="113" spans="1:14" x14ac:dyDescent="0.25">
      <c r="A113" s="88"/>
      <c r="B113" s="89"/>
      <c r="C113" s="81"/>
      <c r="D113" s="81"/>
      <c r="E113" s="81"/>
      <c r="F113" s="81"/>
      <c r="G113" s="88"/>
      <c r="H113" s="81"/>
      <c r="I113" s="90"/>
      <c r="J113" s="81"/>
      <c r="K113" s="88"/>
      <c r="L113" s="91"/>
      <c r="M113" s="81"/>
      <c r="N113" s="81"/>
    </row>
    <row r="114" spans="1:14" x14ac:dyDescent="0.25">
      <c r="A114" s="88"/>
      <c r="B114" s="89"/>
      <c r="C114" s="81"/>
      <c r="D114" s="81"/>
      <c r="E114" s="81"/>
      <c r="F114" s="81"/>
      <c r="G114" s="88"/>
      <c r="H114" s="81"/>
      <c r="I114" s="90"/>
      <c r="J114" s="81"/>
      <c r="K114" s="88"/>
      <c r="L114" s="91"/>
      <c r="M114" s="81"/>
      <c r="N114" s="81"/>
    </row>
    <row r="115" spans="1:14" x14ac:dyDescent="0.25">
      <c r="A115" s="88"/>
      <c r="B115" s="89"/>
      <c r="C115" s="81"/>
      <c r="D115" s="81"/>
      <c r="E115" s="81"/>
      <c r="F115" s="81"/>
      <c r="G115" s="88"/>
      <c r="H115" s="81"/>
      <c r="I115" s="90"/>
      <c r="J115" s="81"/>
      <c r="K115" s="88"/>
      <c r="L115" s="91"/>
      <c r="M115" s="81"/>
      <c r="N115" s="81"/>
    </row>
    <row r="116" spans="1:14" x14ac:dyDescent="0.25">
      <c r="A116" s="88"/>
      <c r="B116" s="89"/>
      <c r="C116" s="81"/>
      <c r="D116" s="81"/>
      <c r="E116" s="81"/>
      <c r="F116" s="81"/>
      <c r="G116" s="88"/>
      <c r="H116" s="81"/>
      <c r="I116" s="90"/>
      <c r="J116" s="81"/>
      <c r="K116" s="88"/>
      <c r="L116" s="91"/>
      <c r="M116" s="81"/>
      <c r="N116" s="81"/>
    </row>
    <row r="117" spans="1:14" x14ac:dyDescent="0.25">
      <c r="A117" s="88"/>
      <c r="B117" s="89"/>
      <c r="C117" s="81"/>
      <c r="D117" s="81"/>
      <c r="E117" s="81"/>
      <c r="F117" s="81"/>
      <c r="G117" s="88"/>
      <c r="H117" s="81"/>
      <c r="I117" s="90"/>
      <c r="J117" s="81"/>
      <c r="K117" s="88"/>
      <c r="L117" s="91"/>
      <c r="M117" s="81"/>
      <c r="N117" s="81"/>
    </row>
    <row r="118" spans="1:14" x14ac:dyDescent="0.25">
      <c r="A118" s="88"/>
      <c r="B118" s="89"/>
      <c r="C118" s="81"/>
      <c r="D118" s="81"/>
      <c r="E118" s="81"/>
      <c r="F118" s="81"/>
      <c r="G118" s="88"/>
      <c r="H118" s="81"/>
      <c r="I118" s="90"/>
      <c r="J118" s="81"/>
      <c r="K118" s="88"/>
      <c r="L118" s="91"/>
      <c r="M118" s="81"/>
      <c r="N118" s="81"/>
    </row>
    <row r="119" spans="1:14" x14ac:dyDescent="0.25">
      <c r="A119" s="88"/>
      <c r="B119" s="89"/>
      <c r="C119" s="81"/>
      <c r="D119" s="81"/>
      <c r="E119" s="81"/>
      <c r="F119" s="81"/>
      <c r="G119" s="88"/>
      <c r="H119" s="81"/>
      <c r="I119" s="90"/>
      <c r="J119" s="81"/>
      <c r="K119" s="88"/>
      <c r="L119" s="91"/>
      <c r="M119" s="81"/>
      <c r="N119" s="81"/>
    </row>
    <row r="120" spans="1:14" x14ac:dyDescent="0.25">
      <c r="A120" s="88"/>
      <c r="B120" s="89"/>
      <c r="C120" s="81"/>
      <c r="D120" s="81"/>
      <c r="E120" s="81"/>
      <c r="F120" s="81"/>
      <c r="G120" s="88"/>
      <c r="H120" s="81"/>
      <c r="I120" s="90"/>
      <c r="J120" s="81"/>
      <c r="K120" s="88"/>
      <c r="L120" s="91"/>
      <c r="M120" s="81"/>
      <c r="N120" s="81"/>
    </row>
    <row r="121" spans="1:14" x14ac:dyDescent="0.25">
      <c r="A121" s="88"/>
      <c r="B121" s="89"/>
      <c r="C121" s="81"/>
      <c r="D121" s="81"/>
      <c r="E121" s="81"/>
      <c r="F121" s="81"/>
      <c r="G121" s="88"/>
      <c r="H121" s="81"/>
      <c r="I121" s="90"/>
      <c r="J121" s="81"/>
      <c r="K121" s="88"/>
      <c r="L121" s="91"/>
      <c r="M121" s="81"/>
      <c r="N121" s="81"/>
    </row>
    <row r="122" spans="1:14" x14ac:dyDescent="0.25">
      <c r="A122" s="88"/>
      <c r="B122" s="89"/>
      <c r="C122" s="81"/>
      <c r="D122" s="81"/>
      <c r="E122" s="81"/>
      <c r="F122" s="81"/>
      <c r="G122" s="88"/>
      <c r="H122" s="81"/>
      <c r="I122" s="90"/>
      <c r="J122" s="81"/>
      <c r="K122" s="88"/>
      <c r="L122" s="91"/>
      <c r="M122" s="81"/>
      <c r="N122" s="81"/>
    </row>
    <row r="123" spans="1:14" x14ac:dyDescent="0.25">
      <c r="A123" s="88"/>
      <c r="B123" s="89"/>
      <c r="C123" s="81"/>
      <c r="D123" s="81"/>
      <c r="E123" s="81"/>
      <c r="F123" s="81"/>
      <c r="G123" s="88"/>
      <c r="H123" s="81"/>
      <c r="I123" s="90"/>
      <c r="J123" s="81"/>
      <c r="K123" s="88"/>
      <c r="L123" s="91"/>
      <c r="M123" s="81"/>
      <c r="N123" s="81"/>
    </row>
    <row r="124" spans="1:14" x14ac:dyDescent="0.25">
      <c r="A124" s="88"/>
      <c r="B124" s="89"/>
      <c r="C124" s="81"/>
      <c r="D124" s="81"/>
      <c r="E124" s="81"/>
      <c r="F124" s="81"/>
      <c r="G124" s="88"/>
      <c r="H124" s="81"/>
      <c r="I124" s="90"/>
      <c r="J124" s="81"/>
      <c r="K124" s="88"/>
      <c r="L124" s="91"/>
      <c r="M124" s="81"/>
      <c r="N124" s="81"/>
    </row>
    <row r="125" spans="1:14" x14ac:dyDescent="0.25">
      <c r="A125" s="88"/>
      <c r="B125" s="89"/>
      <c r="C125" s="81"/>
      <c r="D125" s="81"/>
      <c r="E125" s="81"/>
      <c r="F125" s="81"/>
      <c r="G125" s="88"/>
      <c r="H125" s="81"/>
      <c r="I125" s="90"/>
      <c r="J125" s="81"/>
      <c r="K125" s="88"/>
      <c r="L125" s="91"/>
      <c r="M125" s="81"/>
      <c r="N125" s="81"/>
    </row>
    <row r="126" spans="1:14" x14ac:dyDescent="0.25">
      <c r="A126" s="88"/>
      <c r="B126" s="89"/>
      <c r="C126" s="81"/>
      <c r="D126" s="81"/>
      <c r="E126" s="81"/>
      <c r="F126" s="81"/>
      <c r="G126" s="88"/>
      <c r="H126" s="81"/>
      <c r="I126" s="90"/>
      <c r="J126" s="81"/>
      <c r="K126" s="88"/>
      <c r="L126" s="91"/>
      <c r="M126" s="81"/>
      <c r="N126" s="81"/>
    </row>
    <row r="127" spans="1:14" x14ac:dyDescent="0.25">
      <c r="A127" s="88"/>
      <c r="B127" s="89"/>
      <c r="C127" s="81"/>
      <c r="D127" s="81"/>
      <c r="E127" s="81"/>
      <c r="F127" s="81"/>
      <c r="G127" s="88"/>
      <c r="H127" s="81"/>
      <c r="I127" s="90"/>
      <c r="J127" s="81"/>
      <c r="K127" s="88"/>
      <c r="L127" s="91"/>
      <c r="M127" s="81"/>
      <c r="N127" s="81"/>
    </row>
    <row r="128" spans="1:14" x14ac:dyDescent="0.25">
      <c r="A128" s="88"/>
      <c r="B128" s="89"/>
      <c r="C128" s="81"/>
      <c r="D128" s="81"/>
      <c r="E128" s="81"/>
      <c r="F128" s="81"/>
      <c r="G128" s="88"/>
      <c r="H128" s="81"/>
      <c r="I128" s="90"/>
      <c r="J128" s="81"/>
      <c r="K128" s="88"/>
      <c r="L128" s="91"/>
      <c r="M128" s="81"/>
      <c r="N128" s="81"/>
    </row>
    <row r="129" spans="1:14" x14ac:dyDescent="0.25">
      <c r="A129" s="88"/>
      <c r="B129" s="89"/>
      <c r="C129" s="81"/>
      <c r="D129" s="81"/>
      <c r="E129" s="81"/>
      <c r="F129" s="81"/>
      <c r="G129" s="88"/>
      <c r="H129" s="81"/>
      <c r="I129" s="90"/>
      <c r="J129" s="81"/>
      <c r="K129" s="88"/>
      <c r="L129" s="91"/>
      <c r="M129" s="81"/>
      <c r="N129" s="81"/>
    </row>
    <row r="130" spans="1:14" x14ac:dyDescent="0.25">
      <c r="A130" s="88"/>
      <c r="B130" s="89"/>
      <c r="C130" s="81"/>
      <c r="D130" s="81"/>
      <c r="E130" s="81"/>
      <c r="F130" s="81"/>
      <c r="G130" s="88"/>
      <c r="H130" s="81"/>
      <c r="I130" s="90"/>
      <c r="J130" s="81"/>
      <c r="K130" s="88"/>
      <c r="L130" s="91"/>
      <c r="M130" s="81"/>
      <c r="N130" s="81"/>
    </row>
    <row r="131" spans="1:14" x14ac:dyDescent="0.25">
      <c r="A131" s="88"/>
      <c r="B131" s="89"/>
      <c r="C131" s="81"/>
      <c r="D131" s="81"/>
      <c r="E131" s="81"/>
      <c r="F131" s="81"/>
      <c r="G131" s="88"/>
      <c r="H131" s="81"/>
      <c r="I131" s="90"/>
      <c r="J131" s="81"/>
      <c r="K131" s="88"/>
      <c r="L131" s="91"/>
      <c r="M131" s="81"/>
      <c r="N131" s="81"/>
    </row>
    <row r="132" spans="1:14" x14ac:dyDescent="0.25">
      <c r="A132" s="88"/>
      <c r="B132" s="89"/>
      <c r="C132" s="81"/>
      <c r="D132" s="81"/>
      <c r="E132" s="81"/>
      <c r="F132" s="81"/>
      <c r="G132" s="88"/>
      <c r="H132" s="81"/>
      <c r="I132" s="90"/>
      <c r="J132" s="81"/>
      <c r="K132" s="88"/>
      <c r="L132" s="91"/>
      <c r="M132" s="81"/>
      <c r="N132" s="81"/>
    </row>
    <row r="133" spans="1:14" x14ac:dyDescent="0.25">
      <c r="A133" s="88"/>
      <c r="B133" s="89"/>
      <c r="C133" s="81"/>
      <c r="D133" s="81"/>
      <c r="E133" s="81"/>
      <c r="F133" s="81"/>
      <c r="G133" s="88"/>
      <c r="H133" s="81"/>
      <c r="I133" s="90"/>
      <c r="J133" s="81"/>
      <c r="K133" s="88"/>
      <c r="L133" s="91"/>
      <c r="M133" s="81"/>
      <c r="N133" s="81"/>
    </row>
    <row r="134" spans="1:14" x14ac:dyDescent="0.25">
      <c r="A134" s="88"/>
      <c r="B134" s="89"/>
      <c r="C134" s="81"/>
      <c r="D134" s="81"/>
      <c r="E134" s="81"/>
      <c r="F134" s="81"/>
      <c r="G134" s="88"/>
      <c r="H134" s="81"/>
      <c r="I134" s="90"/>
      <c r="J134" s="81"/>
      <c r="K134" s="88"/>
      <c r="L134" s="91"/>
      <c r="M134" s="81"/>
      <c r="N134" s="81"/>
    </row>
    <row r="135" spans="1:14" x14ac:dyDescent="0.25">
      <c r="A135" s="88"/>
      <c r="B135" s="89"/>
      <c r="C135" s="81"/>
      <c r="D135" s="81"/>
      <c r="E135" s="81"/>
      <c r="F135" s="81"/>
      <c r="G135" s="88"/>
      <c r="H135" s="81"/>
      <c r="I135" s="90"/>
      <c r="J135" s="81"/>
      <c r="K135" s="88"/>
      <c r="L135" s="91"/>
      <c r="M135" s="81"/>
      <c r="N135" s="81"/>
    </row>
    <row r="136" spans="1:14" x14ac:dyDescent="0.25">
      <c r="A136" s="88"/>
      <c r="B136" s="89"/>
      <c r="C136" s="81"/>
      <c r="D136" s="81"/>
      <c r="E136" s="81"/>
      <c r="F136" s="81"/>
      <c r="G136" s="88"/>
      <c r="H136" s="81"/>
      <c r="I136" s="90"/>
      <c r="J136" s="81"/>
      <c r="K136" s="88"/>
      <c r="L136" s="91"/>
      <c r="M136" s="81"/>
      <c r="N136" s="81"/>
    </row>
    <row r="137" spans="1:14" x14ac:dyDescent="0.25">
      <c r="A137" s="88"/>
      <c r="B137" s="89"/>
      <c r="C137" s="81"/>
      <c r="D137" s="81"/>
      <c r="E137" s="81"/>
      <c r="F137" s="81"/>
      <c r="G137" s="88"/>
      <c r="H137" s="81"/>
      <c r="I137" s="90"/>
      <c r="J137" s="81"/>
      <c r="K137" s="88"/>
      <c r="L137" s="91"/>
      <c r="M137" s="81"/>
      <c r="N137" s="81"/>
    </row>
    <row r="138" spans="1:14" x14ac:dyDescent="0.25">
      <c r="A138" s="88"/>
      <c r="B138" s="89"/>
      <c r="C138" s="81"/>
      <c r="D138" s="81"/>
      <c r="E138" s="81"/>
      <c r="F138" s="81"/>
      <c r="G138" s="88"/>
      <c r="H138" s="81"/>
      <c r="I138" s="90"/>
      <c r="J138" s="81"/>
      <c r="K138" s="88"/>
      <c r="L138" s="91"/>
      <c r="M138" s="81"/>
      <c r="N138" s="81"/>
    </row>
    <row r="139" spans="1:14" x14ac:dyDescent="0.25">
      <c r="A139" s="88"/>
      <c r="B139" s="89"/>
      <c r="C139" s="81"/>
      <c r="D139" s="81"/>
      <c r="E139" s="81"/>
      <c r="F139" s="81"/>
      <c r="G139" s="88"/>
      <c r="H139" s="81"/>
      <c r="I139" s="90"/>
      <c r="J139" s="81"/>
      <c r="K139" s="88"/>
      <c r="L139" s="91"/>
      <c r="M139" s="81"/>
      <c r="N139" s="81"/>
    </row>
    <row r="140" spans="1:14" x14ac:dyDescent="0.25">
      <c r="A140" s="88"/>
      <c r="B140" s="89"/>
      <c r="C140" s="81"/>
      <c r="D140" s="81"/>
      <c r="E140" s="81"/>
      <c r="F140" s="81"/>
      <c r="G140" s="88"/>
      <c r="H140" s="81"/>
      <c r="I140" s="90"/>
      <c r="J140" s="81"/>
      <c r="K140" s="88"/>
      <c r="L140" s="91"/>
      <c r="M140" s="81"/>
      <c r="N140" s="81"/>
    </row>
    <row r="141" spans="1:14" x14ac:dyDescent="0.25">
      <c r="A141" s="88"/>
      <c r="B141" s="89"/>
      <c r="C141" s="81"/>
      <c r="D141" s="81"/>
      <c r="E141" s="81"/>
      <c r="F141" s="81"/>
      <c r="G141" s="88"/>
      <c r="H141" s="81"/>
      <c r="I141" s="90"/>
      <c r="J141" s="81"/>
      <c r="K141" s="88"/>
      <c r="L141" s="91"/>
      <c r="M141" s="81"/>
      <c r="N141" s="81"/>
    </row>
    <row r="142" spans="1:14" x14ac:dyDescent="0.25">
      <c r="A142" s="88"/>
      <c r="B142" s="89"/>
      <c r="C142" s="81"/>
      <c r="D142" s="81"/>
      <c r="E142" s="81"/>
      <c r="F142" s="81"/>
      <c r="G142" s="88"/>
      <c r="H142" s="81"/>
      <c r="I142" s="90"/>
      <c r="J142" s="81"/>
      <c r="K142" s="88"/>
      <c r="L142" s="91"/>
      <c r="M142" s="81"/>
      <c r="N142" s="81"/>
    </row>
    <row r="143" spans="1:14" x14ac:dyDescent="0.25">
      <c r="A143" s="88"/>
      <c r="B143" s="89"/>
      <c r="C143" s="81"/>
      <c r="D143" s="81"/>
      <c r="E143" s="81"/>
      <c r="F143" s="81"/>
      <c r="G143" s="88"/>
      <c r="H143" s="81"/>
      <c r="I143" s="90"/>
      <c r="J143" s="81"/>
      <c r="K143" s="88"/>
      <c r="L143" s="91"/>
      <c r="M143" s="81"/>
      <c r="N143" s="81"/>
    </row>
    <row r="144" spans="1:14" x14ac:dyDescent="0.25">
      <c r="A144" s="88"/>
      <c r="B144" s="89"/>
      <c r="C144" s="81"/>
      <c r="D144" s="81"/>
      <c r="E144" s="81"/>
      <c r="F144" s="81"/>
      <c r="G144" s="88"/>
      <c r="H144" s="81"/>
      <c r="I144" s="90"/>
      <c r="J144" s="81"/>
      <c r="K144" s="88"/>
      <c r="L144" s="91"/>
      <c r="M144" s="81"/>
      <c r="N144" s="81"/>
    </row>
    <row r="145" spans="1:14" x14ac:dyDescent="0.25">
      <c r="A145" s="88"/>
      <c r="B145" s="89"/>
      <c r="C145" s="81"/>
      <c r="D145" s="81"/>
      <c r="E145" s="81"/>
      <c r="F145" s="81"/>
      <c r="G145" s="88"/>
      <c r="H145" s="81"/>
      <c r="I145" s="90"/>
      <c r="J145" s="81"/>
      <c r="K145" s="88"/>
      <c r="L145" s="91"/>
      <c r="M145" s="81"/>
      <c r="N145" s="81"/>
    </row>
    <row r="146" spans="1:14" x14ac:dyDescent="0.25">
      <c r="A146" s="88"/>
      <c r="B146" s="89"/>
      <c r="C146" s="81"/>
      <c r="D146" s="81"/>
      <c r="E146" s="81"/>
      <c r="F146" s="81"/>
      <c r="G146" s="88"/>
      <c r="H146" s="81"/>
      <c r="I146" s="90"/>
      <c r="J146" s="81"/>
      <c r="K146" s="88"/>
      <c r="L146" s="91"/>
      <c r="M146" s="81"/>
      <c r="N146" s="81"/>
    </row>
    <row r="147" spans="1:14" x14ac:dyDescent="0.25">
      <c r="A147" s="88"/>
      <c r="B147" s="89"/>
      <c r="C147" s="81"/>
      <c r="D147" s="81"/>
      <c r="E147" s="81"/>
      <c r="F147" s="81"/>
      <c r="G147" s="88"/>
      <c r="H147" s="81"/>
      <c r="I147" s="90"/>
      <c r="J147" s="81"/>
      <c r="K147" s="88"/>
      <c r="L147" s="91"/>
      <c r="M147" s="81"/>
      <c r="N147" s="81"/>
    </row>
    <row r="148" spans="1:14" x14ac:dyDescent="0.25">
      <c r="A148" s="88"/>
      <c r="B148" s="89"/>
      <c r="C148" s="81"/>
      <c r="D148" s="81"/>
      <c r="E148" s="81"/>
      <c r="F148" s="81"/>
      <c r="G148" s="88"/>
      <c r="H148" s="81"/>
      <c r="I148" s="90"/>
      <c r="J148" s="81"/>
      <c r="K148" s="88"/>
      <c r="L148" s="91"/>
      <c r="M148" s="81"/>
      <c r="N148" s="81"/>
    </row>
    <row r="149" spans="1:14" x14ac:dyDescent="0.25">
      <c r="A149" s="88"/>
      <c r="B149" s="89"/>
      <c r="C149" s="81"/>
      <c r="D149" s="81"/>
      <c r="E149" s="81"/>
      <c r="F149" s="81"/>
      <c r="G149" s="88"/>
      <c r="H149" s="81"/>
      <c r="I149" s="90"/>
      <c r="J149" s="81"/>
      <c r="K149" s="88"/>
      <c r="L149" s="91"/>
      <c r="M149" s="81"/>
      <c r="N149" s="81"/>
    </row>
    <row r="150" spans="1:14" x14ac:dyDescent="0.25">
      <c r="A150" s="88"/>
      <c r="B150" s="89"/>
      <c r="C150" s="81"/>
      <c r="D150" s="81"/>
      <c r="E150" s="81"/>
      <c r="F150" s="81"/>
      <c r="G150" s="88"/>
      <c r="H150" s="81"/>
      <c r="I150" s="90"/>
      <c r="J150" s="81"/>
      <c r="K150" s="88"/>
      <c r="L150" s="91"/>
      <c r="M150" s="81"/>
      <c r="N150" s="81"/>
    </row>
    <row r="151" spans="1:14" x14ac:dyDescent="0.25">
      <c r="A151" s="88"/>
      <c r="B151" s="89"/>
      <c r="C151" s="81"/>
      <c r="D151" s="81"/>
      <c r="E151" s="81"/>
      <c r="F151" s="81"/>
      <c r="G151" s="88"/>
      <c r="H151" s="81"/>
      <c r="I151" s="90"/>
      <c r="J151" s="81"/>
      <c r="K151" s="88"/>
      <c r="L151" s="91"/>
      <c r="M151" s="81"/>
      <c r="N151" s="81"/>
    </row>
    <row r="152" spans="1:14" x14ac:dyDescent="0.25">
      <c r="A152" s="88"/>
      <c r="B152" s="89"/>
      <c r="C152" s="81"/>
      <c r="D152" s="81"/>
      <c r="E152" s="81"/>
      <c r="F152" s="81"/>
      <c r="G152" s="88"/>
      <c r="H152" s="81"/>
      <c r="I152" s="90"/>
      <c r="J152" s="81"/>
      <c r="K152" s="88"/>
      <c r="L152" s="91"/>
      <c r="M152" s="81"/>
      <c r="N152" s="81"/>
    </row>
    <row r="153" spans="1:14" x14ac:dyDescent="0.25">
      <c r="A153" s="88"/>
      <c r="B153" s="89"/>
      <c r="C153" s="81"/>
      <c r="D153" s="81"/>
      <c r="E153" s="81"/>
      <c r="F153" s="81"/>
      <c r="G153" s="88"/>
      <c r="H153" s="81"/>
      <c r="I153" s="90"/>
      <c r="J153" s="81"/>
      <c r="K153" s="88"/>
      <c r="L153" s="91"/>
      <c r="M153" s="81"/>
      <c r="N153" s="81"/>
    </row>
    <row r="154" spans="1:14" x14ac:dyDescent="0.25">
      <c r="A154" s="88"/>
      <c r="B154" s="89"/>
      <c r="C154" s="81"/>
      <c r="D154" s="81"/>
      <c r="E154" s="81"/>
      <c r="F154" s="81"/>
      <c r="G154" s="88"/>
      <c r="H154" s="81"/>
      <c r="I154" s="90"/>
      <c r="J154" s="81"/>
      <c r="K154" s="88"/>
      <c r="L154" s="91"/>
      <c r="M154" s="81"/>
      <c r="N154" s="81"/>
    </row>
    <row r="155" spans="1:14" x14ac:dyDescent="0.25">
      <c r="A155" s="88"/>
      <c r="B155" s="89"/>
      <c r="C155" s="81"/>
      <c r="D155" s="81"/>
      <c r="E155" s="81"/>
      <c r="F155" s="81"/>
      <c r="G155" s="88"/>
      <c r="H155" s="81"/>
      <c r="I155" s="90"/>
      <c r="J155" s="81"/>
      <c r="K155" s="88"/>
      <c r="L155" s="91"/>
      <c r="M155" s="81"/>
      <c r="N155" s="81"/>
    </row>
    <row r="156" spans="1:14" x14ac:dyDescent="0.25">
      <c r="A156" s="88"/>
      <c r="B156" s="89"/>
      <c r="C156" s="81"/>
      <c r="D156" s="81"/>
      <c r="E156" s="81"/>
      <c r="F156" s="81"/>
      <c r="G156" s="88"/>
      <c r="H156" s="81"/>
      <c r="I156" s="90"/>
      <c r="J156" s="81"/>
      <c r="K156" s="88"/>
      <c r="L156" s="91"/>
      <c r="M156" s="81"/>
      <c r="N156" s="81"/>
    </row>
    <row r="157" spans="1:14" x14ac:dyDescent="0.25">
      <c r="A157" s="88"/>
      <c r="B157" s="89"/>
      <c r="C157" s="81"/>
      <c r="D157" s="81"/>
      <c r="E157" s="81"/>
      <c r="F157" s="81"/>
      <c r="G157" s="88"/>
      <c r="H157" s="81"/>
      <c r="I157" s="90"/>
      <c r="J157" s="81"/>
      <c r="K157" s="88"/>
      <c r="L157" s="91"/>
      <c r="M157" s="81"/>
      <c r="N157" s="81"/>
    </row>
    <row r="158" spans="1:14" x14ac:dyDescent="0.25">
      <c r="A158" s="88"/>
      <c r="B158" s="89"/>
      <c r="C158" s="81"/>
      <c r="D158" s="81"/>
      <c r="E158" s="81"/>
      <c r="F158" s="81"/>
      <c r="G158" s="88"/>
      <c r="H158" s="81"/>
      <c r="I158" s="90"/>
      <c r="J158" s="81"/>
      <c r="K158" s="88"/>
      <c r="L158" s="91"/>
      <c r="M158" s="81"/>
      <c r="N158" s="81"/>
    </row>
    <row r="159" spans="1:14" x14ac:dyDescent="0.25">
      <c r="A159" s="88"/>
      <c r="B159" s="89"/>
      <c r="C159" s="81"/>
      <c r="D159" s="81"/>
      <c r="E159" s="81"/>
      <c r="F159" s="81"/>
      <c r="G159" s="88"/>
      <c r="H159" s="81"/>
      <c r="I159" s="90"/>
      <c r="J159" s="81"/>
      <c r="K159" s="88"/>
      <c r="L159" s="91"/>
      <c r="M159" s="81"/>
      <c r="N159" s="81"/>
    </row>
    <row r="160" spans="1:14" x14ac:dyDescent="0.25">
      <c r="A160" s="88"/>
      <c r="B160" s="89"/>
      <c r="C160" s="81"/>
      <c r="D160" s="81"/>
      <c r="E160" s="81"/>
      <c r="F160" s="81"/>
      <c r="G160" s="88"/>
      <c r="H160" s="81"/>
      <c r="I160" s="90"/>
      <c r="J160" s="81"/>
      <c r="K160" s="88"/>
      <c r="L160" s="91"/>
      <c r="M160" s="81"/>
      <c r="N160" s="81"/>
    </row>
    <row r="161" spans="1:14" x14ac:dyDescent="0.25">
      <c r="A161" s="88"/>
      <c r="B161" s="89"/>
      <c r="C161" s="81"/>
      <c r="D161" s="81"/>
      <c r="E161" s="81"/>
      <c r="F161" s="81"/>
      <c r="G161" s="88"/>
      <c r="H161" s="81"/>
      <c r="I161" s="90"/>
      <c r="J161" s="81"/>
      <c r="K161" s="88"/>
      <c r="L161" s="91"/>
      <c r="M161" s="81"/>
      <c r="N161" s="81"/>
    </row>
    <row r="162" spans="1:14" x14ac:dyDescent="0.25">
      <c r="A162" s="88"/>
      <c r="B162" s="89"/>
      <c r="C162" s="81"/>
      <c r="D162" s="81"/>
      <c r="E162" s="81"/>
      <c r="F162" s="81"/>
      <c r="G162" s="88"/>
      <c r="H162" s="81"/>
      <c r="I162" s="90"/>
      <c r="J162" s="81"/>
      <c r="K162" s="88"/>
      <c r="L162" s="91"/>
      <c r="M162" s="81"/>
      <c r="N162" s="81"/>
    </row>
    <row r="163" spans="1:14" x14ac:dyDescent="0.25">
      <c r="A163" s="88"/>
      <c r="B163" s="89"/>
      <c r="C163" s="81"/>
      <c r="D163" s="81"/>
      <c r="E163" s="81"/>
      <c r="F163" s="81"/>
      <c r="G163" s="88"/>
      <c r="H163" s="81"/>
      <c r="I163" s="90"/>
      <c r="J163" s="81"/>
      <c r="K163" s="88"/>
      <c r="L163" s="91"/>
      <c r="M163" s="81"/>
      <c r="N163" s="81"/>
    </row>
    <row r="164" spans="1:14" x14ac:dyDescent="0.25">
      <c r="A164" s="88"/>
      <c r="B164" s="89"/>
      <c r="C164" s="81"/>
      <c r="D164" s="81"/>
      <c r="E164" s="81"/>
      <c r="F164" s="81"/>
      <c r="G164" s="88"/>
      <c r="H164" s="81"/>
      <c r="I164" s="90"/>
      <c r="J164" s="81"/>
      <c r="K164" s="88"/>
      <c r="L164" s="91"/>
      <c r="M164" s="81"/>
      <c r="N164" s="81"/>
    </row>
    <row r="165" spans="1:14" x14ac:dyDescent="0.25">
      <c r="A165" s="88"/>
      <c r="B165" s="89"/>
      <c r="C165" s="81"/>
      <c r="D165" s="81"/>
      <c r="E165" s="81"/>
      <c r="F165" s="81"/>
      <c r="G165" s="88"/>
      <c r="H165" s="81"/>
      <c r="I165" s="90"/>
      <c r="J165" s="81"/>
      <c r="K165" s="88"/>
      <c r="L165" s="91"/>
      <c r="M165" s="81"/>
      <c r="N165" s="81"/>
    </row>
    <row r="166" spans="1:14" x14ac:dyDescent="0.25">
      <c r="A166" s="88"/>
      <c r="B166" s="89"/>
      <c r="C166" s="81"/>
      <c r="D166" s="81"/>
      <c r="E166" s="81"/>
      <c r="F166" s="81"/>
      <c r="G166" s="88"/>
      <c r="H166" s="81"/>
      <c r="I166" s="90"/>
      <c r="J166" s="81"/>
      <c r="K166" s="88"/>
      <c r="L166" s="91"/>
      <c r="M166" s="81"/>
      <c r="N166" s="81"/>
    </row>
    <row r="167" spans="1:14" x14ac:dyDescent="0.25">
      <c r="A167" s="88"/>
      <c r="B167" s="89"/>
      <c r="C167" s="81"/>
      <c r="D167" s="81"/>
      <c r="E167" s="81"/>
      <c r="F167" s="81"/>
      <c r="G167" s="88"/>
      <c r="H167" s="81"/>
      <c r="I167" s="90"/>
      <c r="J167" s="81"/>
      <c r="K167" s="88"/>
      <c r="L167" s="91"/>
      <c r="M167" s="81"/>
      <c r="N167" s="81"/>
    </row>
    <row r="168" spans="1:14" x14ac:dyDescent="0.25">
      <c r="A168" s="88"/>
      <c r="B168" s="89"/>
      <c r="C168" s="81"/>
      <c r="D168" s="81"/>
      <c r="E168" s="81"/>
      <c r="F168" s="81"/>
      <c r="G168" s="88"/>
      <c r="H168" s="81"/>
      <c r="I168" s="90"/>
      <c r="J168" s="81"/>
      <c r="K168" s="88"/>
      <c r="L168" s="91"/>
      <c r="M168" s="81"/>
      <c r="N168" s="81"/>
    </row>
    <row r="169" spans="1:14" x14ac:dyDescent="0.25">
      <c r="A169" s="88"/>
      <c r="B169" s="89"/>
      <c r="C169" s="81"/>
      <c r="D169" s="81"/>
      <c r="E169" s="81"/>
      <c r="F169" s="81"/>
      <c r="G169" s="88"/>
      <c r="H169" s="81"/>
      <c r="I169" s="90"/>
      <c r="J169" s="81"/>
      <c r="K169" s="88"/>
      <c r="L169" s="91"/>
      <c r="M169" s="81"/>
      <c r="N169" s="81"/>
    </row>
    <row r="170" spans="1:14" x14ac:dyDescent="0.25">
      <c r="A170" s="88"/>
      <c r="B170" s="89"/>
      <c r="C170" s="81"/>
      <c r="D170" s="81"/>
      <c r="E170" s="81"/>
      <c r="F170" s="81"/>
      <c r="G170" s="88"/>
      <c r="H170" s="81"/>
      <c r="I170" s="90"/>
      <c r="J170" s="81"/>
      <c r="K170" s="88"/>
      <c r="L170" s="91"/>
      <c r="M170" s="81"/>
      <c r="N170" s="81"/>
    </row>
    <row r="171" spans="1:14" x14ac:dyDescent="0.25">
      <c r="A171" s="88"/>
      <c r="B171" s="89"/>
      <c r="C171" s="81"/>
      <c r="D171" s="81"/>
      <c r="E171" s="81"/>
      <c r="F171" s="81"/>
      <c r="G171" s="88"/>
      <c r="H171" s="81"/>
      <c r="I171" s="90"/>
      <c r="J171" s="81"/>
      <c r="K171" s="88"/>
      <c r="L171" s="91"/>
      <c r="M171" s="81"/>
      <c r="N171" s="81"/>
    </row>
    <row r="172" spans="1:14" x14ac:dyDescent="0.25">
      <c r="A172" s="88"/>
      <c r="B172" s="89"/>
      <c r="C172" s="81"/>
      <c r="D172" s="81"/>
      <c r="E172" s="81"/>
      <c r="F172" s="81"/>
      <c r="G172" s="88"/>
      <c r="H172" s="81"/>
      <c r="I172" s="90"/>
      <c r="J172" s="81"/>
      <c r="K172" s="88"/>
      <c r="L172" s="91"/>
      <c r="M172" s="81"/>
      <c r="N172" s="81"/>
    </row>
    <row r="173" spans="1:14" x14ac:dyDescent="0.25">
      <c r="A173" s="88"/>
      <c r="B173" s="89"/>
      <c r="C173" s="81"/>
      <c r="D173" s="81"/>
      <c r="E173" s="81"/>
      <c r="F173" s="81"/>
      <c r="G173" s="88"/>
      <c r="H173" s="81"/>
      <c r="I173" s="90"/>
      <c r="J173" s="81"/>
      <c r="K173" s="88"/>
      <c r="L173" s="91"/>
      <c r="M173" s="81"/>
      <c r="N173" s="81"/>
    </row>
    <row r="174" spans="1:14" x14ac:dyDescent="0.25">
      <c r="A174" s="88"/>
      <c r="B174" s="89"/>
      <c r="C174" s="81"/>
      <c r="D174" s="81"/>
      <c r="E174" s="81"/>
      <c r="F174" s="81"/>
      <c r="G174" s="88"/>
      <c r="H174" s="81"/>
      <c r="I174" s="90"/>
      <c r="J174" s="81"/>
      <c r="K174" s="88"/>
      <c r="L174" s="91"/>
      <c r="M174" s="81"/>
      <c r="N174" s="81"/>
    </row>
    <row r="175" spans="1:14" x14ac:dyDescent="0.25">
      <c r="A175" s="88"/>
      <c r="B175" s="89"/>
      <c r="C175" s="81"/>
      <c r="D175" s="81"/>
      <c r="E175" s="81"/>
      <c r="F175" s="81"/>
      <c r="G175" s="88"/>
      <c r="H175" s="81"/>
      <c r="I175" s="90"/>
      <c r="J175" s="81"/>
      <c r="K175" s="88"/>
      <c r="L175" s="91"/>
      <c r="M175" s="81"/>
      <c r="N175" s="81"/>
    </row>
    <row r="176" spans="1:14" x14ac:dyDescent="0.25">
      <c r="A176" s="88"/>
      <c r="B176" s="89"/>
      <c r="C176" s="81"/>
      <c r="D176" s="81"/>
      <c r="E176" s="81"/>
      <c r="F176" s="81"/>
      <c r="G176" s="88"/>
      <c r="H176" s="81"/>
      <c r="I176" s="90"/>
      <c r="J176" s="81"/>
      <c r="K176" s="88"/>
      <c r="L176" s="91"/>
      <c r="M176" s="81"/>
      <c r="N176" s="81"/>
    </row>
    <row r="177" spans="1:14" x14ac:dyDescent="0.25">
      <c r="A177" s="88"/>
      <c r="B177" s="89"/>
      <c r="C177" s="81"/>
      <c r="D177" s="81"/>
      <c r="E177" s="81"/>
      <c r="F177" s="81"/>
      <c r="G177" s="88"/>
      <c r="H177" s="81"/>
      <c r="I177" s="90"/>
      <c r="J177" s="81"/>
      <c r="K177" s="88"/>
      <c r="L177" s="91"/>
      <c r="M177" s="81"/>
      <c r="N177" s="81"/>
    </row>
    <row r="178" spans="1:14" x14ac:dyDescent="0.25">
      <c r="A178" s="88"/>
      <c r="B178" s="89"/>
      <c r="C178" s="81"/>
      <c r="D178" s="81"/>
      <c r="E178" s="81"/>
      <c r="F178" s="81"/>
      <c r="G178" s="88"/>
      <c r="H178" s="81"/>
      <c r="I178" s="90"/>
      <c r="J178" s="81"/>
      <c r="K178" s="88"/>
      <c r="L178" s="91"/>
      <c r="M178" s="81"/>
      <c r="N178" s="81"/>
    </row>
    <row r="179" spans="1:14" x14ac:dyDescent="0.25">
      <c r="A179" s="88"/>
      <c r="B179" s="89"/>
      <c r="C179" s="81"/>
      <c r="D179" s="81"/>
      <c r="E179" s="81"/>
      <c r="F179" s="81"/>
      <c r="G179" s="88"/>
      <c r="H179" s="81"/>
      <c r="I179" s="90"/>
      <c r="J179" s="81"/>
      <c r="K179" s="88"/>
      <c r="L179" s="91"/>
      <c r="M179" s="81"/>
      <c r="N179" s="81"/>
    </row>
    <row r="180" spans="1:14" x14ac:dyDescent="0.25">
      <c r="A180" s="88"/>
      <c r="B180" s="89"/>
      <c r="C180" s="81"/>
      <c r="D180" s="81"/>
      <c r="E180" s="81"/>
      <c r="F180" s="81"/>
      <c r="G180" s="88"/>
      <c r="H180" s="81"/>
      <c r="I180" s="90"/>
      <c r="J180" s="81"/>
      <c r="K180" s="88"/>
      <c r="L180" s="91"/>
      <c r="M180" s="81"/>
      <c r="N180" s="81"/>
    </row>
    <row r="181" spans="1:14" x14ac:dyDescent="0.25">
      <c r="A181" s="88"/>
      <c r="B181" s="89"/>
      <c r="C181" s="81"/>
      <c r="D181" s="81"/>
      <c r="E181" s="81"/>
      <c r="F181" s="81"/>
      <c r="G181" s="88"/>
      <c r="H181" s="81"/>
      <c r="I181" s="90"/>
      <c r="J181" s="81"/>
      <c r="K181" s="88"/>
      <c r="L181" s="91"/>
      <c r="M181" s="81"/>
      <c r="N181" s="81"/>
    </row>
    <row r="182" spans="1:14" x14ac:dyDescent="0.25">
      <c r="A182" s="88"/>
      <c r="B182" s="89"/>
      <c r="C182" s="81"/>
      <c r="D182" s="81"/>
      <c r="E182" s="81"/>
      <c r="F182" s="81"/>
      <c r="G182" s="88"/>
      <c r="H182" s="81"/>
      <c r="I182" s="90"/>
      <c r="J182" s="81"/>
      <c r="K182" s="88"/>
      <c r="L182" s="91"/>
      <c r="M182" s="81"/>
      <c r="N182" s="81"/>
    </row>
    <row r="183" spans="1:14" x14ac:dyDescent="0.25">
      <c r="A183" s="88"/>
      <c r="B183" s="89"/>
      <c r="C183" s="81"/>
      <c r="D183" s="81"/>
      <c r="E183" s="81"/>
      <c r="F183" s="81"/>
      <c r="G183" s="88"/>
      <c r="H183" s="81"/>
      <c r="I183" s="90"/>
      <c r="J183" s="81"/>
      <c r="K183" s="88"/>
      <c r="L183" s="91"/>
      <c r="M183" s="81"/>
      <c r="N183" s="81"/>
    </row>
    <row r="184" spans="1:14" x14ac:dyDescent="0.25">
      <c r="A184" s="88"/>
      <c r="B184" s="89"/>
      <c r="C184" s="81"/>
      <c r="D184" s="81"/>
      <c r="E184" s="81"/>
      <c r="F184" s="81"/>
      <c r="G184" s="88"/>
      <c r="H184" s="81"/>
      <c r="I184" s="90"/>
      <c r="J184" s="81"/>
      <c r="K184" s="88"/>
      <c r="L184" s="91"/>
      <c r="M184" s="81"/>
      <c r="N184" s="81"/>
    </row>
    <row r="185" spans="1:14" x14ac:dyDescent="0.25">
      <c r="A185" s="88"/>
      <c r="B185" s="89"/>
      <c r="C185" s="81"/>
      <c r="D185" s="81"/>
      <c r="E185" s="81"/>
      <c r="F185" s="81"/>
      <c r="G185" s="88"/>
      <c r="H185" s="81"/>
      <c r="I185" s="90"/>
      <c r="J185" s="81"/>
      <c r="K185" s="88"/>
      <c r="L185" s="91"/>
      <c r="M185" s="81"/>
      <c r="N185" s="81"/>
    </row>
    <row r="186" spans="1:14" x14ac:dyDescent="0.25">
      <c r="A186" s="88"/>
      <c r="B186" s="89"/>
      <c r="C186" s="81"/>
      <c r="D186" s="81"/>
      <c r="E186" s="81"/>
      <c r="F186" s="81"/>
      <c r="G186" s="88"/>
      <c r="H186" s="81"/>
      <c r="I186" s="90"/>
      <c r="J186" s="81"/>
      <c r="K186" s="88"/>
      <c r="L186" s="91"/>
      <c r="M186" s="81"/>
      <c r="N186" s="81"/>
    </row>
    <row r="187" spans="1:14" x14ac:dyDescent="0.25">
      <c r="A187" s="88"/>
      <c r="B187" s="89"/>
      <c r="C187" s="81"/>
      <c r="D187" s="81"/>
      <c r="E187" s="81"/>
      <c r="F187" s="81"/>
      <c r="G187" s="88"/>
      <c r="H187" s="81"/>
      <c r="I187" s="90"/>
      <c r="J187" s="81"/>
      <c r="K187" s="88"/>
      <c r="L187" s="91"/>
      <c r="M187" s="81"/>
      <c r="N187" s="81"/>
    </row>
    <row r="188" spans="1:14" x14ac:dyDescent="0.25">
      <c r="A188" s="88"/>
      <c r="B188" s="89"/>
      <c r="C188" s="81"/>
      <c r="D188" s="81"/>
      <c r="E188" s="81"/>
      <c r="F188" s="81"/>
      <c r="G188" s="88"/>
      <c r="H188" s="81"/>
      <c r="I188" s="90"/>
      <c r="J188" s="81"/>
      <c r="K188" s="88"/>
      <c r="L188" s="91"/>
      <c r="M188" s="81"/>
      <c r="N188" s="81"/>
    </row>
    <row r="189" spans="1:14" x14ac:dyDescent="0.25">
      <c r="A189" s="88"/>
      <c r="B189" s="89"/>
      <c r="C189" s="81"/>
      <c r="D189" s="81"/>
      <c r="E189" s="81"/>
      <c r="F189" s="81"/>
      <c r="G189" s="88"/>
      <c r="H189" s="81"/>
      <c r="I189" s="90"/>
      <c r="J189" s="81"/>
      <c r="K189" s="88"/>
      <c r="L189" s="91"/>
      <c r="M189" s="81"/>
      <c r="N189" s="81"/>
    </row>
    <row r="190" spans="1:14" x14ac:dyDescent="0.25">
      <c r="A190" s="88"/>
      <c r="B190" s="89"/>
      <c r="C190" s="81"/>
      <c r="D190" s="81"/>
      <c r="E190" s="81"/>
      <c r="F190" s="81"/>
      <c r="G190" s="88"/>
      <c r="H190" s="81"/>
      <c r="I190" s="90"/>
      <c r="J190" s="81"/>
      <c r="K190" s="88"/>
      <c r="L190" s="91"/>
      <c r="M190" s="81"/>
      <c r="N190" s="81"/>
    </row>
    <row r="191" spans="1:14" x14ac:dyDescent="0.25">
      <c r="A191" s="88"/>
      <c r="B191" s="89"/>
      <c r="C191" s="81"/>
      <c r="D191" s="81"/>
      <c r="E191" s="81"/>
      <c r="F191" s="81"/>
      <c r="G191" s="88"/>
      <c r="H191" s="81"/>
      <c r="I191" s="90"/>
      <c r="J191" s="81"/>
      <c r="K191" s="88"/>
      <c r="L191" s="91"/>
      <c r="M191" s="81"/>
      <c r="N191" s="81"/>
    </row>
    <row r="192" spans="1:14" x14ac:dyDescent="0.25">
      <c r="A192" s="88"/>
      <c r="B192" s="89"/>
      <c r="C192" s="81"/>
      <c r="D192" s="81"/>
      <c r="E192" s="81"/>
      <c r="F192" s="81"/>
      <c r="G192" s="88"/>
      <c r="H192" s="81"/>
      <c r="I192" s="90"/>
      <c r="J192" s="81"/>
      <c r="K192" s="88"/>
      <c r="L192" s="91"/>
      <c r="M192" s="81"/>
      <c r="N192" s="81"/>
    </row>
    <row r="193" spans="1:14" x14ac:dyDescent="0.25">
      <c r="A193" s="88"/>
      <c r="B193" s="89"/>
      <c r="C193" s="81"/>
      <c r="D193" s="81"/>
      <c r="E193" s="81"/>
      <c r="F193" s="81"/>
      <c r="G193" s="88"/>
      <c r="H193" s="81"/>
      <c r="I193" s="90"/>
      <c r="J193" s="81"/>
      <c r="K193" s="88"/>
      <c r="L193" s="91"/>
      <c r="M193" s="81"/>
      <c r="N193" s="81"/>
    </row>
    <row r="194" spans="1:14" x14ac:dyDescent="0.25">
      <c r="A194" s="88"/>
      <c r="B194" s="89"/>
      <c r="C194" s="81"/>
      <c r="D194" s="81"/>
      <c r="E194" s="81"/>
      <c r="F194" s="81"/>
      <c r="G194" s="88"/>
      <c r="H194" s="81"/>
      <c r="I194" s="90"/>
      <c r="J194" s="81"/>
      <c r="K194" s="88"/>
      <c r="L194" s="91"/>
      <c r="M194" s="81"/>
      <c r="N194" s="81"/>
    </row>
    <row r="195" spans="1:14" x14ac:dyDescent="0.25">
      <c r="A195" s="88"/>
      <c r="B195" s="89"/>
      <c r="C195" s="81"/>
      <c r="D195" s="81"/>
      <c r="E195" s="81"/>
      <c r="F195" s="81"/>
      <c r="G195" s="88"/>
      <c r="H195" s="81"/>
      <c r="I195" s="90"/>
      <c r="J195" s="81"/>
      <c r="K195" s="88"/>
      <c r="L195" s="91"/>
      <c r="M195" s="81"/>
      <c r="N195" s="81"/>
    </row>
    <row r="196" spans="1:14" x14ac:dyDescent="0.25">
      <c r="A196" s="88"/>
      <c r="B196" s="89"/>
      <c r="C196" s="81"/>
      <c r="D196" s="81"/>
      <c r="E196" s="81"/>
      <c r="F196" s="81"/>
      <c r="G196" s="88"/>
      <c r="H196" s="81"/>
      <c r="I196" s="90"/>
      <c r="J196" s="81"/>
      <c r="K196" s="88"/>
      <c r="L196" s="91"/>
      <c r="M196" s="81"/>
      <c r="N196" s="81"/>
    </row>
    <row r="197" spans="1:14" x14ac:dyDescent="0.25">
      <c r="A197" s="88"/>
      <c r="B197" s="89"/>
      <c r="C197" s="81"/>
      <c r="D197" s="81"/>
      <c r="E197" s="81"/>
      <c r="F197" s="81"/>
      <c r="G197" s="88"/>
      <c r="H197" s="81"/>
      <c r="I197" s="90"/>
      <c r="J197" s="81"/>
      <c r="K197" s="88"/>
      <c r="L197" s="91"/>
      <c r="M197" s="81"/>
      <c r="N197" s="81"/>
    </row>
    <row r="198" spans="1:14" x14ac:dyDescent="0.25">
      <c r="A198" s="88"/>
      <c r="B198" s="89"/>
      <c r="C198" s="81"/>
      <c r="D198" s="81"/>
      <c r="E198" s="81"/>
      <c r="F198" s="81"/>
      <c r="G198" s="88"/>
      <c r="H198" s="81"/>
      <c r="I198" s="90"/>
      <c r="J198" s="81"/>
      <c r="K198" s="88"/>
      <c r="L198" s="91"/>
      <c r="M198" s="81"/>
      <c r="N198" s="81"/>
    </row>
    <row r="199" spans="1:14" x14ac:dyDescent="0.25">
      <c r="A199" s="88"/>
      <c r="B199" s="89"/>
      <c r="C199" s="81"/>
      <c r="D199" s="81"/>
      <c r="E199" s="81"/>
      <c r="F199" s="81"/>
      <c r="G199" s="88"/>
      <c r="H199" s="81"/>
      <c r="I199" s="90"/>
      <c r="J199" s="81"/>
      <c r="K199" s="88"/>
      <c r="L199" s="91"/>
      <c r="M199" s="81"/>
      <c r="N199" s="81"/>
    </row>
    <row r="200" spans="1:14" x14ac:dyDescent="0.25">
      <c r="A200" s="88"/>
      <c r="B200" s="89"/>
      <c r="C200" s="81"/>
      <c r="D200" s="81"/>
      <c r="E200" s="81"/>
      <c r="F200" s="81"/>
      <c r="G200" s="88"/>
      <c r="H200" s="81"/>
      <c r="I200" s="90"/>
      <c r="J200" s="81"/>
      <c r="K200" s="88"/>
      <c r="L200" s="91"/>
      <c r="M200" s="81"/>
      <c r="N200" s="81"/>
    </row>
    <row r="201" spans="1:14" x14ac:dyDescent="0.25">
      <c r="A201" s="88"/>
      <c r="B201" s="89"/>
      <c r="C201" s="81"/>
      <c r="D201" s="81"/>
      <c r="E201" s="81"/>
      <c r="F201" s="81"/>
      <c r="G201" s="88"/>
      <c r="H201" s="81"/>
      <c r="I201" s="90"/>
      <c r="J201" s="81"/>
      <c r="K201" s="88"/>
      <c r="L201" s="91"/>
      <c r="M201" s="81"/>
      <c r="N201" s="81"/>
    </row>
    <row r="202" spans="1:14" x14ac:dyDescent="0.25">
      <c r="A202" s="88"/>
      <c r="B202" s="89"/>
      <c r="C202" s="81"/>
      <c r="D202" s="81"/>
      <c r="E202" s="81"/>
      <c r="F202" s="81"/>
      <c r="G202" s="88"/>
      <c r="H202" s="81"/>
      <c r="I202" s="90"/>
      <c r="J202" s="81"/>
      <c r="K202" s="88"/>
      <c r="L202" s="91"/>
      <c r="M202" s="81"/>
      <c r="N202" s="81"/>
    </row>
    <row r="203" spans="1:14" x14ac:dyDescent="0.25">
      <c r="A203" s="88"/>
      <c r="B203" s="89"/>
      <c r="C203" s="81"/>
      <c r="D203" s="81"/>
      <c r="E203" s="81"/>
      <c r="F203" s="81"/>
      <c r="G203" s="88"/>
      <c r="H203" s="81"/>
      <c r="I203" s="90"/>
      <c r="J203" s="81"/>
      <c r="K203" s="88"/>
      <c r="L203" s="91"/>
      <c r="M203" s="81"/>
      <c r="N203" s="81"/>
    </row>
    <row r="204" spans="1:14" x14ac:dyDescent="0.25">
      <c r="A204" s="88"/>
      <c r="B204" s="89"/>
      <c r="C204" s="81"/>
      <c r="D204" s="81"/>
      <c r="E204" s="81"/>
      <c r="F204" s="81"/>
      <c r="G204" s="88"/>
      <c r="H204" s="81"/>
      <c r="I204" s="90"/>
      <c r="J204" s="81"/>
      <c r="K204" s="88"/>
      <c r="L204" s="91"/>
      <c r="M204" s="81"/>
      <c r="N204" s="81"/>
    </row>
    <row r="205" spans="1:14" x14ac:dyDescent="0.25">
      <c r="A205" s="88"/>
      <c r="B205" s="89"/>
      <c r="C205" s="81"/>
      <c r="D205" s="81"/>
      <c r="E205" s="81"/>
      <c r="F205" s="81"/>
      <c r="G205" s="88"/>
      <c r="H205" s="81"/>
      <c r="I205" s="90"/>
      <c r="J205" s="81"/>
      <c r="K205" s="88"/>
      <c r="L205" s="91"/>
      <c r="M205" s="81"/>
      <c r="N205" s="81"/>
    </row>
    <row r="206" spans="1:14" x14ac:dyDescent="0.25">
      <c r="A206" s="88"/>
      <c r="B206" s="89"/>
      <c r="C206" s="81"/>
      <c r="D206" s="81"/>
      <c r="E206" s="81"/>
      <c r="F206" s="81"/>
      <c r="G206" s="88"/>
      <c r="H206" s="81"/>
      <c r="I206" s="90"/>
      <c r="J206" s="81"/>
      <c r="K206" s="88"/>
      <c r="L206" s="91"/>
      <c r="M206" s="81"/>
      <c r="N206" s="81"/>
    </row>
    <row r="207" spans="1:14" x14ac:dyDescent="0.25">
      <c r="A207" s="88"/>
      <c r="B207" s="89"/>
      <c r="C207" s="81"/>
      <c r="D207" s="81"/>
      <c r="E207" s="81"/>
      <c r="F207" s="81"/>
      <c r="G207" s="88"/>
      <c r="H207" s="81"/>
      <c r="I207" s="90"/>
      <c r="J207" s="81"/>
      <c r="K207" s="88"/>
      <c r="L207" s="91"/>
      <c r="M207" s="81"/>
      <c r="N207" s="81"/>
    </row>
    <row r="208" spans="1:14" x14ac:dyDescent="0.25">
      <c r="A208" s="88"/>
      <c r="B208" s="89"/>
      <c r="C208" s="81"/>
      <c r="D208" s="81"/>
      <c r="E208" s="81"/>
      <c r="F208" s="81"/>
      <c r="G208" s="88"/>
      <c r="H208" s="81"/>
      <c r="I208" s="90"/>
      <c r="J208" s="81"/>
      <c r="K208" s="88"/>
      <c r="L208" s="91"/>
      <c r="M208" s="81"/>
      <c r="N208" s="81"/>
    </row>
    <row r="209" spans="1:14" x14ac:dyDescent="0.25">
      <c r="A209" s="88"/>
      <c r="B209" s="89"/>
      <c r="C209" s="81"/>
      <c r="D209" s="81"/>
      <c r="E209" s="81"/>
      <c r="F209" s="81"/>
      <c r="G209" s="88"/>
      <c r="H209" s="81"/>
      <c r="I209" s="90"/>
      <c r="J209" s="81"/>
      <c r="K209" s="88"/>
      <c r="L209" s="91"/>
      <c r="M209" s="81"/>
      <c r="N209" s="81"/>
    </row>
    <row r="210" spans="1:14" x14ac:dyDescent="0.25">
      <c r="A210" s="88"/>
      <c r="B210" s="89"/>
      <c r="C210" s="81"/>
      <c r="D210" s="81"/>
      <c r="E210" s="81"/>
      <c r="F210" s="81"/>
      <c r="G210" s="88"/>
      <c r="H210" s="81"/>
      <c r="I210" s="90"/>
      <c r="J210" s="81"/>
      <c r="K210" s="88"/>
      <c r="L210" s="91"/>
      <c r="M210" s="81"/>
      <c r="N210" s="81"/>
    </row>
    <row r="211" spans="1:14" x14ac:dyDescent="0.25">
      <c r="A211" s="88"/>
      <c r="B211" s="89"/>
      <c r="C211" s="81"/>
      <c r="D211" s="81"/>
      <c r="E211" s="81"/>
      <c r="F211" s="81"/>
      <c r="G211" s="88"/>
      <c r="H211" s="81"/>
      <c r="I211" s="90"/>
      <c r="J211" s="81"/>
      <c r="K211" s="88"/>
      <c r="L211" s="91"/>
      <c r="M211" s="81"/>
      <c r="N211" s="81"/>
    </row>
    <row r="212" spans="1:14" x14ac:dyDescent="0.25">
      <c r="A212" s="88"/>
      <c r="B212" s="89"/>
      <c r="C212" s="81"/>
      <c r="D212" s="81"/>
      <c r="E212" s="81"/>
      <c r="F212" s="81"/>
      <c r="G212" s="88"/>
      <c r="H212" s="81"/>
      <c r="I212" s="90"/>
      <c r="J212" s="81"/>
      <c r="K212" s="88"/>
      <c r="L212" s="91"/>
      <c r="M212" s="81"/>
      <c r="N212" s="81"/>
    </row>
    <row r="213" spans="1:14" x14ac:dyDescent="0.25">
      <c r="A213" s="88"/>
      <c r="B213" s="89"/>
      <c r="C213" s="81"/>
      <c r="D213" s="81"/>
      <c r="E213" s="81"/>
      <c r="F213" s="81"/>
      <c r="G213" s="88"/>
      <c r="H213" s="81"/>
      <c r="I213" s="90"/>
      <c r="J213" s="81"/>
      <c r="K213" s="88"/>
      <c r="L213" s="91"/>
      <c r="M213" s="81"/>
      <c r="N213" s="81"/>
    </row>
    <row r="214" spans="1:14" x14ac:dyDescent="0.25">
      <c r="A214" s="88"/>
      <c r="B214" s="89"/>
      <c r="C214" s="81"/>
      <c r="D214" s="81"/>
      <c r="E214" s="81"/>
      <c r="F214" s="81"/>
      <c r="G214" s="88"/>
      <c r="H214" s="81"/>
      <c r="I214" s="90"/>
      <c r="J214" s="81"/>
      <c r="K214" s="88"/>
      <c r="L214" s="91"/>
      <c r="M214" s="81"/>
      <c r="N214" s="81"/>
    </row>
    <row r="215" spans="1:14" x14ac:dyDescent="0.25">
      <c r="A215" s="88"/>
      <c r="B215" s="89"/>
      <c r="C215" s="81"/>
      <c r="D215" s="81"/>
      <c r="E215" s="81"/>
      <c r="F215" s="81"/>
      <c r="G215" s="88"/>
      <c r="H215" s="81"/>
      <c r="I215" s="90"/>
      <c r="J215" s="81"/>
      <c r="K215" s="88"/>
      <c r="L215" s="91"/>
      <c r="M215" s="81"/>
      <c r="N215" s="81"/>
    </row>
    <row r="216" spans="1:14" x14ac:dyDescent="0.25">
      <c r="A216" s="88"/>
      <c r="B216" s="89"/>
      <c r="C216" s="81"/>
      <c r="D216" s="81"/>
      <c r="E216" s="81"/>
      <c r="F216" s="81"/>
      <c r="G216" s="88"/>
      <c r="H216" s="81"/>
      <c r="I216" s="90"/>
      <c r="J216" s="81"/>
      <c r="K216" s="88"/>
      <c r="L216" s="91"/>
      <c r="M216" s="81"/>
      <c r="N216" s="81"/>
    </row>
    <row r="217" spans="1:14" x14ac:dyDescent="0.25">
      <c r="A217" s="88"/>
      <c r="B217" s="89"/>
      <c r="C217" s="81"/>
      <c r="D217" s="81"/>
      <c r="E217" s="81"/>
      <c r="F217" s="81"/>
      <c r="G217" s="88"/>
      <c r="H217" s="81"/>
      <c r="I217" s="90"/>
      <c r="J217" s="81"/>
      <c r="K217" s="88"/>
      <c r="L217" s="91"/>
      <c r="M217" s="81"/>
      <c r="N217" s="81"/>
    </row>
    <row r="218" spans="1:14" x14ac:dyDescent="0.25">
      <c r="A218" s="88"/>
      <c r="B218" s="89"/>
      <c r="C218" s="81"/>
      <c r="D218" s="81"/>
      <c r="E218" s="81"/>
      <c r="F218" s="81"/>
      <c r="G218" s="88"/>
      <c r="H218" s="81"/>
      <c r="I218" s="90"/>
      <c r="J218" s="81"/>
      <c r="K218" s="88"/>
      <c r="L218" s="91"/>
      <c r="M218" s="81"/>
      <c r="N218" s="81"/>
    </row>
    <row r="219" spans="1:14" x14ac:dyDescent="0.25">
      <c r="A219" s="88"/>
      <c r="B219" s="89"/>
      <c r="C219" s="81"/>
      <c r="D219" s="81"/>
      <c r="E219" s="81"/>
      <c r="F219" s="81"/>
      <c r="G219" s="88"/>
      <c r="H219" s="81"/>
      <c r="I219" s="90"/>
      <c r="J219" s="81"/>
      <c r="K219" s="88"/>
      <c r="L219" s="91"/>
      <c r="M219" s="81"/>
      <c r="N219" s="81"/>
    </row>
    <row r="220" spans="1:14" x14ac:dyDescent="0.25">
      <c r="A220" s="88"/>
      <c r="B220" s="89"/>
      <c r="C220" s="81"/>
      <c r="D220" s="81"/>
      <c r="E220" s="81"/>
      <c r="F220" s="81"/>
      <c r="G220" s="88"/>
      <c r="H220" s="81"/>
      <c r="I220" s="90"/>
      <c r="J220" s="81"/>
      <c r="K220" s="88"/>
      <c r="L220" s="91"/>
      <c r="M220" s="81"/>
      <c r="N220" s="81"/>
    </row>
    <row r="221" spans="1:14" x14ac:dyDescent="0.25">
      <c r="A221" s="88"/>
      <c r="B221" s="89"/>
      <c r="C221" s="81"/>
      <c r="D221" s="81"/>
      <c r="E221" s="81"/>
      <c r="F221" s="81"/>
      <c r="G221" s="88"/>
      <c r="H221" s="81"/>
      <c r="I221" s="90"/>
      <c r="J221" s="81"/>
      <c r="K221" s="88"/>
      <c r="L221" s="91"/>
      <c r="M221" s="81"/>
      <c r="N221" s="81"/>
    </row>
    <row r="222" spans="1:14" x14ac:dyDescent="0.25">
      <c r="A222" s="88"/>
      <c r="B222" s="89"/>
      <c r="C222" s="81"/>
      <c r="D222" s="81"/>
      <c r="E222" s="81"/>
      <c r="F222" s="81"/>
      <c r="G222" s="88"/>
      <c r="H222" s="81"/>
      <c r="I222" s="90"/>
      <c r="J222" s="81"/>
      <c r="K222" s="88"/>
      <c r="L222" s="91"/>
      <c r="M222" s="81"/>
      <c r="N222" s="81"/>
    </row>
    <row r="223" spans="1:14" x14ac:dyDescent="0.25">
      <c r="A223" s="88"/>
      <c r="B223" s="89"/>
      <c r="C223" s="81"/>
      <c r="D223" s="81"/>
      <c r="E223" s="81"/>
      <c r="F223" s="81"/>
      <c r="G223" s="88"/>
      <c r="H223" s="81"/>
      <c r="I223" s="90"/>
      <c r="J223" s="81"/>
      <c r="K223" s="88"/>
      <c r="L223" s="91"/>
      <c r="M223" s="81"/>
      <c r="N223" s="81"/>
    </row>
    <row r="224" spans="1:14" x14ac:dyDescent="0.25">
      <c r="A224" s="88"/>
      <c r="B224" s="89"/>
      <c r="C224" s="81"/>
      <c r="D224" s="81"/>
      <c r="E224" s="81"/>
      <c r="F224" s="81"/>
      <c r="G224" s="88"/>
      <c r="H224" s="81"/>
      <c r="I224" s="90"/>
      <c r="J224" s="81"/>
      <c r="K224" s="88"/>
      <c r="L224" s="91"/>
      <c r="M224" s="81"/>
      <c r="N224" s="81"/>
    </row>
    <row r="225" spans="1:14" x14ac:dyDescent="0.25">
      <c r="A225" s="88"/>
      <c r="B225" s="89"/>
      <c r="C225" s="81"/>
      <c r="D225" s="81"/>
      <c r="E225" s="81"/>
      <c r="F225" s="81"/>
      <c r="G225" s="88"/>
      <c r="H225" s="81"/>
      <c r="I225" s="90"/>
      <c r="J225" s="81"/>
      <c r="K225" s="88"/>
      <c r="L225" s="91"/>
      <c r="M225" s="81"/>
      <c r="N225" s="81"/>
    </row>
    <row r="226" spans="1:14" x14ac:dyDescent="0.25">
      <c r="A226" s="88"/>
      <c r="B226" s="89"/>
      <c r="C226" s="81"/>
      <c r="D226" s="81"/>
      <c r="E226" s="81"/>
      <c r="F226" s="81"/>
      <c r="G226" s="88"/>
      <c r="H226" s="81"/>
      <c r="I226" s="90"/>
      <c r="J226" s="81"/>
      <c r="K226" s="88"/>
      <c r="L226" s="91"/>
      <c r="M226" s="81"/>
      <c r="N226" s="81"/>
    </row>
    <row r="227" spans="1:14" x14ac:dyDescent="0.25">
      <c r="A227" s="88"/>
      <c r="B227" s="89"/>
      <c r="C227" s="81"/>
      <c r="D227" s="81"/>
      <c r="E227" s="81"/>
      <c r="F227" s="81"/>
      <c r="G227" s="88"/>
      <c r="H227" s="81"/>
      <c r="I227" s="90"/>
      <c r="J227" s="81"/>
      <c r="K227" s="88"/>
      <c r="L227" s="91"/>
      <c r="M227" s="81"/>
      <c r="N227" s="81"/>
    </row>
    <row r="228" spans="1:14" x14ac:dyDescent="0.25">
      <c r="A228" s="88"/>
      <c r="B228" s="89"/>
      <c r="C228" s="81"/>
      <c r="D228" s="81"/>
      <c r="E228" s="81"/>
      <c r="F228" s="81"/>
      <c r="G228" s="88"/>
      <c r="H228" s="81"/>
      <c r="I228" s="90"/>
      <c r="J228" s="81"/>
      <c r="K228" s="88"/>
      <c r="L228" s="91"/>
      <c r="M228" s="81"/>
      <c r="N228" s="81"/>
    </row>
    <row r="229" spans="1:14" x14ac:dyDescent="0.25">
      <c r="A229" s="88"/>
      <c r="B229" s="89"/>
      <c r="C229" s="81"/>
      <c r="D229" s="81"/>
      <c r="E229" s="81"/>
      <c r="F229" s="81"/>
      <c r="G229" s="88"/>
      <c r="H229" s="81"/>
      <c r="I229" s="90"/>
      <c r="J229" s="81"/>
      <c r="K229" s="88"/>
      <c r="L229" s="91"/>
      <c r="M229" s="81"/>
      <c r="N229" s="81"/>
    </row>
    <row r="230" spans="1:14" x14ac:dyDescent="0.25">
      <c r="A230" s="88"/>
      <c r="B230" s="89"/>
      <c r="C230" s="81"/>
      <c r="D230" s="81"/>
      <c r="E230" s="81"/>
      <c r="F230" s="81"/>
      <c r="G230" s="88"/>
      <c r="H230" s="81"/>
      <c r="I230" s="90"/>
      <c r="J230" s="81"/>
      <c r="K230" s="88"/>
      <c r="L230" s="91"/>
      <c r="M230" s="81"/>
      <c r="N230" s="81"/>
    </row>
    <row r="231" spans="1:14" x14ac:dyDescent="0.25">
      <c r="A231" s="88"/>
      <c r="B231" s="89"/>
      <c r="C231" s="81"/>
      <c r="D231" s="81"/>
      <c r="E231" s="81"/>
      <c r="F231" s="81"/>
      <c r="G231" s="88"/>
      <c r="H231" s="81"/>
      <c r="I231" s="90"/>
      <c r="J231" s="81"/>
      <c r="K231" s="88"/>
      <c r="L231" s="91"/>
      <c r="M231" s="81"/>
      <c r="N231" s="81"/>
    </row>
    <row r="232" spans="1:14" x14ac:dyDescent="0.25">
      <c r="A232" s="88"/>
      <c r="B232" s="89"/>
      <c r="C232" s="81"/>
      <c r="D232" s="81"/>
      <c r="E232" s="81"/>
      <c r="F232" s="81"/>
      <c r="G232" s="88"/>
      <c r="H232" s="81"/>
      <c r="I232" s="90"/>
      <c r="J232" s="81"/>
      <c r="K232" s="88"/>
      <c r="L232" s="91"/>
      <c r="M232" s="81"/>
      <c r="N232" s="81"/>
    </row>
    <row r="233" spans="1:14" x14ac:dyDescent="0.25">
      <c r="A233" s="88"/>
      <c r="B233" s="89"/>
      <c r="C233" s="81"/>
      <c r="D233" s="81"/>
      <c r="E233" s="81"/>
      <c r="F233" s="81"/>
      <c r="G233" s="88"/>
      <c r="H233" s="81"/>
      <c r="I233" s="90"/>
      <c r="J233" s="81"/>
      <c r="K233" s="88"/>
      <c r="L233" s="91"/>
      <c r="M233" s="81"/>
      <c r="N233" s="81"/>
    </row>
    <row r="234" spans="1:14" x14ac:dyDescent="0.25">
      <c r="A234" s="88"/>
      <c r="B234" s="89"/>
      <c r="C234" s="81"/>
      <c r="D234" s="81"/>
      <c r="E234" s="81"/>
      <c r="F234" s="81"/>
      <c r="G234" s="88"/>
      <c r="H234" s="81"/>
      <c r="I234" s="90"/>
      <c r="J234" s="81"/>
      <c r="K234" s="88"/>
      <c r="L234" s="91"/>
      <c r="M234" s="81"/>
      <c r="N234" s="81"/>
    </row>
    <row r="235" spans="1:14" x14ac:dyDescent="0.25">
      <c r="A235" s="88"/>
      <c r="B235" s="89"/>
      <c r="C235" s="81"/>
      <c r="D235" s="81"/>
      <c r="E235" s="81"/>
      <c r="F235" s="81"/>
      <c r="G235" s="88"/>
      <c r="H235" s="81"/>
      <c r="I235" s="90"/>
      <c r="J235" s="81"/>
      <c r="K235" s="88"/>
      <c r="L235" s="91"/>
      <c r="M235" s="81"/>
      <c r="N235" s="81"/>
    </row>
    <row r="236" spans="1:14" x14ac:dyDescent="0.25">
      <c r="A236" s="88"/>
      <c r="B236" s="89"/>
      <c r="C236" s="81"/>
      <c r="D236" s="81"/>
      <c r="E236" s="81"/>
      <c r="F236" s="81"/>
      <c r="G236" s="88"/>
      <c r="H236" s="81"/>
      <c r="I236" s="90"/>
      <c r="J236" s="81"/>
      <c r="K236" s="88"/>
      <c r="L236" s="91"/>
      <c r="M236" s="81"/>
      <c r="N236" s="81"/>
    </row>
    <row r="237" spans="1:14" x14ac:dyDescent="0.25">
      <c r="A237" s="88"/>
      <c r="B237" s="89"/>
      <c r="C237" s="81"/>
      <c r="D237" s="81"/>
      <c r="E237" s="81"/>
      <c r="F237" s="81"/>
      <c r="G237" s="88"/>
      <c r="H237" s="81"/>
      <c r="I237" s="90"/>
      <c r="J237" s="81"/>
      <c r="K237" s="88"/>
      <c r="L237" s="91"/>
      <c r="M237" s="81"/>
      <c r="N237" s="81"/>
    </row>
    <row r="238" spans="1:14" x14ac:dyDescent="0.25">
      <c r="A238" s="88"/>
      <c r="B238" s="89"/>
      <c r="C238" s="81"/>
      <c r="D238" s="81"/>
      <c r="E238" s="81"/>
      <c r="F238" s="81"/>
      <c r="G238" s="88"/>
      <c r="H238" s="81"/>
      <c r="I238" s="90"/>
      <c r="J238" s="81"/>
      <c r="K238" s="88"/>
      <c r="L238" s="91"/>
      <c r="M238" s="81"/>
      <c r="N238" s="81"/>
    </row>
    <row r="239" spans="1:14" x14ac:dyDescent="0.25">
      <c r="A239" s="88"/>
      <c r="B239" s="89"/>
      <c r="C239" s="81"/>
      <c r="D239" s="81"/>
      <c r="E239" s="81"/>
      <c r="F239" s="81"/>
      <c r="G239" s="88"/>
      <c r="H239" s="81"/>
      <c r="I239" s="90"/>
      <c r="J239" s="81"/>
      <c r="K239" s="88"/>
      <c r="L239" s="91"/>
      <c r="M239" s="81"/>
      <c r="N239" s="81"/>
    </row>
    <row r="240" spans="1:14" x14ac:dyDescent="0.25">
      <c r="A240" s="88"/>
      <c r="B240" s="89"/>
      <c r="C240" s="81"/>
      <c r="D240" s="81"/>
      <c r="E240" s="81"/>
      <c r="F240" s="81"/>
      <c r="G240" s="88"/>
      <c r="H240" s="81"/>
      <c r="I240" s="90"/>
      <c r="J240" s="81"/>
      <c r="K240" s="88"/>
      <c r="L240" s="91"/>
      <c r="M240" s="81"/>
      <c r="N240" s="81"/>
    </row>
    <row r="241" spans="1:14" x14ac:dyDescent="0.25">
      <c r="A241" s="88"/>
      <c r="B241" s="89"/>
      <c r="C241" s="81"/>
      <c r="D241" s="81"/>
      <c r="E241" s="81"/>
      <c r="F241" s="81"/>
      <c r="G241" s="88"/>
      <c r="H241" s="81"/>
      <c r="I241" s="90"/>
      <c r="J241" s="81"/>
      <c r="K241" s="88"/>
      <c r="L241" s="91"/>
      <c r="M241" s="81"/>
      <c r="N241" s="81"/>
    </row>
    <row r="242" spans="1:14" x14ac:dyDescent="0.25">
      <c r="A242" s="88"/>
      <c r="B242" s="89"/>
      <c r="C242" s="81"/>
      <c r="D242" s="81"/>
      <c r="E242" s="81"/>
      <c r="F242" s="81"/>
      <c r="G242" s="88"/>
      <c r="H242" s="81"/>
      <c r="I242" s="90"/>
      <c r="J242" s="81"/>
      <c r="K242" s="88"/>
      <c r="L242" s="91"/>
      <c r="M242" s="81"/>
      <c r="N242" s="81"/>
    </row>
    <row r="243" spans="1:14" x14ac:dyDescent="0.25">
      <c r="A243" s="88"/>
      <c r="B243" s="89"/>
      <c r="C243" s="81"/>
      <c r="D243" s="81"/>
      <c r="E243" s="81"/>
      <c r="F243" s="81"/>
      <c r="G243" s="88"/>
      <c r="H243" s="81"/>
      <c r="I243" s="90"/>
      <c r="J243" s="81"/>
      <c r="K243" s="88"/>
      <c r="L243" s="91"/>
      <c r="M243" s="81"/>
      <c r="N243" s="81"/>
    </row>
    <row r="244" spans="1:14" x14ac:dyDescent="0.25">
      <c r="A244" s="88"/>
      <c r="B244" s="89"/>
      <c r="C244" s="81"/>
      <c r="D244" s="81"/>
      <c r="E244" s="81"/>
      <c r="F244" s="81"/>
      <c r="G244" s="88"/>
      <c r="H244" s="81"/>
      <c r="I244" s="90"/>
      <c r="J244" s="81"/>
      <c r="K244" s="88"/>
      <c r="L244" s="91"/>
      <c r="M244" s="81"/>
      <c r="N244" s="81"/>
    </row>
    <row r="245" spans="1:14" x14ac:dyDescent="0.25">
      <c r="A245" s="88"/>
      <c r="B245" s="89"/>
      <c r="C245" s="81"/>
      <c r="D245" s="81"/>
      <c r="E245" s="81"/>
      <c r="F245" s="81"/>
      <c r="G245" s="88"/>
      <c r="H245" s="81"/>
      <c r="I245" s="90"/>
      <c r="J245" s="81"/>
      <c r="K245" s="88"/>
      <c r="L245" s="91"/>
      <c r="M245" s="81"/>
      <c r="N245" s="81"/>
    </row>
    <row r="246" spans="1:14" x14ac:dyDescent="0.25">
      <c r="A246" s="88"/>
      <c r="B246" s="89"/>
      <c r="C246" s="81"/>
      <c r="D246" s="81"/>
      <c r="E246" s="81"/>
      <c r="F246" s="81"/>
      <c r="G246" s="88"/>
      <c r="H246" s="81"/>
      <c r="I246" s="90"/>
      <c r="J246" s="81"/>
      <c r="K246" s="88"/>
      <c r="L246" s="91"/>
      <c r="M246" s="81"/>
      <c r="N246" s="81"/>
    </row>
    <row r="247" spans="1:14" x14ac:dyDescent="0.25">
      <c r="A247" s="88"/>
      <c r="B247" s="89"/>
      <c r="C247" s="81"/>
      <c r="D247" s="81"/>
      <c r="E247" s="81"/>
      <c r="F247" s="81"/>
      <c r="G247" s="88"/>
      <c r="H247" s="81"/>
      <c r="I247" s="90"/>
      <c r="J247" s="81"/>
      <c r="K247" s="88"/>
      <c r="L247" s="91"/>
      <c r="M247" s="81"/>
      <c r="N247" s="81"/>
    </row>
    <row r="248" spans="1:14" x14ac:dyDescent="0.25">
      <c r="A248" s="88"/>
      <c r="B248" s="89"/>
      <c r="C248" s="81"/>
      <c r="D248" s="81"/>
      <c r="E248" s="81"/>
      <c r="F248" s="81"/>
      <c r="G248" s="88"/>
      <c r="H248" s="81"/>
      <c r="I248" s="90"/>
      <c r="J248" s="81"/>
      <c r="K248" s="88"/>
      <c r="L248" s="91"/>
      <c r="M248" s="81"/>
      <c r="N248" s="81"/>
    </row>
    <row r="249" spans="1:14" x14ac:dyDescent="0.25">
      <c r="A249" s="88"/>
      <c r="B249" s="89"/>
      <c r="C249" s="81"/>
      <c r="D249" s="81"/>
      <c r="E249" s="81"/>
      <c r="F249" s="81"/>
      <c r="G249" s="88"/>
      <c r="H249" s="81"/>
      <c r="I249" s="90"/>
      <c r="J249" s="81"/>
      <c r="K249" s="88"/>
      <c r="L249" s="91"/>
      <c r="M249" s="81"/>
      <c r="N249" s="81"/>
    </row>
    <row r="250" spans="1:14" x14ac:dyDescent="0.25">
      <c r="A250" s="88"/>
      <c r="B250" s="89"/>
      <c r="C250" s="81"/>
      <c r="D250" s="81"/>
      <c r="E250" s="81"/>
      <c r="F250" s="81"/>
      <c r="G250" s="88"/>
      <c r="H250" s="81"/>
      <c r="I250" s="90"/>
      <c r="J250" s="81"/>
      <c r="K250" s="88"/>
      <c r="L250" s="91"/>
      <c r="M250" s="81"/>
      <c r="N250" s="81"/>
    </row>
    <row r="251" spans="1:14" x14ac:dyDescent="0.25">
      <c r="A251" s="88"/>
      <c r="B251" s="89"/>
      <c r="C251" s="81"/>
      <c r="D251" s="81"/>
      <c r="E251" s="81"/>
      <c r="F251" s="81"/>
      <c r="G251" s="88"/>
      <c r="H251" s="81"/>
      <c r="I251" s="90"/>
      <c r="J251" s="81"/>
      <c r="K251" s="88"/>
      <c r="L251" s="91"/>
      <c r="M251" s="81"/>
      <c r="N251" s="81"/>
    </row>
    <row r="252" spans="1:14" x14ac:dyDescent="0.25">
      <c r="A252" s="88"/>
      <c r="B252" s="89"/>
      <c r="C252" s="81"/>
      <c r="D252" s="81"/>
      <c r="E252" s="81"/>
      <c r="F252" s="81"/>
      <c r="G252" s="88"/>
      <c r="H252" s="81"/>
      <c r="I252" s="90"/>
      <c r="J252" s="81"/>
      <c r="K252" s="88"/>
      <c r="L252" s="91"/>
      <c r="M252" s="81"/>
      <c r="N252" s="81"/>
    </row>
    <row r="253" spans="1:14" x14ac:dyDescent="0.25">
      <c r="A253" s="88"/>
      <c r="B253" s="89"/>
      <c r="C253" s="81"/>
      <c r="D253" s="81"/>
      <c r="E253" s="81"/>
      <c r="F253" s="81"/>
      <c r="G253" s="88"/>
      <c r="H253" s="81"/>
      <c r="I253" s="90"/>
      <c r="J253" s="81"/>
      <c r="K253" s="88"/>
      <c r="L253" s="91"/>
      <c r="M253" s="81"/>
      <c r="N253" s="81"/>
    </row>
    <row r="254" spans="1:14" x14ac:dyDescent="0.25">
      <c r="A254" s="88"/>
      <c r="B254" s="89"/>
      <c r="C254" s="81"/>
      <c r="D254" s="81"/>
      <c r="E254" s="81"/>
      <c r="F254" s="81"/>
      <c r="G254" s="88"/>
      <c r="H254" s="81"/>
      <c r="I254" s="90"/>
      <c r="J254" s="81"/>
      <c r="K254" s="88"/>
      <c r="L254" s="91"/>
      <c r="M254" s="81"/>
      <c r="N254" s="81"/>
    </row>
    <row r="255" spans="1:14" x14ac:dyDescent="0.25">
      <c r="A255" s="88"/>
      <c r="B255" s="89"/>
      <c r="C255" s="81"/>
      <c r="D255" s="81"/>
      <c r="E255" s="81"/>
      <c r="F255" s="81"/>
      <c r="G255" s="88"/>
      <c r="H255" s="81"/>
      <c r="I255" s="90"/>
      <c r="J255" s="81"/>
      <c r="K255" s="88"/>
      <c r="L255" s="91"/>
      <c r="M255" s="81"/>
      <c r="N255" s="81"/>
    </row>
    <row r="256" spans="1:14" x14ac:dyDescent="0.25">
      <c r="A256" s="88"/>
      <c r="B256" s="89"/>
      <c r="C256" s="81"/>
      <c r="D256" s="81"/>
      <c r="E256" s="81"/>
      <c r="F256" s="81"/>
      <c r="G256" s="88"/>
      <c r="H256" s="81"/>
      <c r="I256" s="90"/>
      <c r="J256" s="81"/>
      <c r="K256" s="88"/>
      <c r="L256" s="91"/>
      <c r="M256" s="81"/>
      <c r="N256" s="81"/>
    </row>
    <row r="257" spans="1:14" x14ac:dyDescent="0.25">
      <c r="A257" s="88"/>
      <c r="B257" s="89"/>
      <c r="C257" s="81"/>
      <c r="D257" s="81"/>
      <c r="E257" s="81"/>
      <c r="F257" s="81"/>
      <c r="G257" s="88"/>
      <c r="H257" s="81"/>
      <c r="I257" s="90"/>
      <c r="J257" s="81"/>
      <c r="K257" s="88"/>
      <c r="L257" s="91"/>
      <c r="M257" s="81"/>
      <c r="N257" s="81"/>
    </row>
    <row r="258" spans="1:14" x14ac:dyDescent="0.25">
      <c r="A258" s="88"/>
      <c r="B258" s="89"/>
      <c r="C258" s="81"/>
      <c r="D258" s="81"/>
      <c r="E258" s="81"/>
      <c r="F258" s="81"/>
      <c r="G258" s="88"/>
      <c r="H258" s="81"/>
      <c r="I258" s="90"/>
      <c r="J258" s="81"/>
      <c r="K258" s="88"/>
      <c r="L258" s="91"/>
      <c r="M258" s="81"/>
      <c r="N258" s="81"/>
    </row>
    <row r="259" spans="1:14" x14ac:dyDescent="0.25">
      <c r="A259" s="88"/>
      <c r="B259" s="89"/>
      <c r="C259" s="81"/>
      <c r="D259" s="81"/>
      <c r="E259" s="81"/>
      <c r="F259" s="81"/>
      <c r="G259" s="88"/>
      <c r="H259" s="81"/>
      <c r="I259" s="90"/>
      <c r="J259" s="81"/>
      <c r="K259" s="88"/>
      <c r="L259" s="91"/>
      <c r="M259" s="81"/>
      <c r="N259" s="81"/>
    </row>
    <row r="260" spans="1:14" x14ac:dyDescent="0.25">
      <c r="A260" s="88"/>
      <c r="B260" s="89"/>
      <c r="C260" s="81"/>
      <c r="D260" s="81"/>
      <c r="E260" s="81"/>
      <c r="F260" s="81"/>
      <c r="G260" s="88"/>
      <c r="H260" s="81"/>
      <c r="I260" s="90"/>
      <c r="J260" s="81"/>
      <c r="K260" s="88"/>
      <c r="L260" s="91"/>
      <c r="M260" s="81"/>
      <c r="N260" s="81"/>
    </row>
    <row r="261" spans="1:14" x14ac:dyDescent="0.25">
      <c r="A261" s="88"/>
      <c r="B261" s="89"/>
      <c r="C261" s="81"/>
      <c r="D261" s="81"/>
      <c r="E261" s="81"/>
      <c r="F261" s="81"/>
      <c r="G261" s="88"/>
      <c r="H261" s="81"/>
      <c r="I261" s="90"/>
      <c r="J261" s="81"/>
      <c r="K261" s="88"/>
      <c r="L261" s="91"/>
      <c r="M261" s="81"/>
      <c r="N261" s="81"/>
    </row>
    <row r="262" spans="1:14" x14ac:dyDescent="0.25">
      <c r="A262" s="88"/>
      <c r="B262" s="89"/>
      <c r="C262" s="81"/>
      <c r="D262" s="81"/>
      <c r="E262" s="81"/>
      <c r="F262" s="81"/>
      <c r="G262" s="88"/>
      <c r="H262" s="81"/>
      <c r="I262" s="90"/>
      <c r="J262" s="81"/>
      <c r="K262" s="88"/>
      <c r="L262" s="91"/>
      <c r="M262" s="81"/>
      <c r="N262" s="81"/>
    </row>
    <row r="263" spans="1:14" x14ac:dyDescent="0.25">
      <c r="A263" s="88"/>
      <c r="B263" s="89"/>
      <c r="C263" s="81"/>
      <c r="D263" s="81"/>
      <c r="E263" s="81"/>
      <c r="F263" s="81"/>
      <c r="G263" s="88"/>
      <c r="H263" s="81"/>
      <c r="I263" s="90"/>
      <c r="J263" s="81"/>
      <c r="K263" s="88"/>
      <c r="L263" s="91"/>
      <c r="M263" s="81"/>
      <c r="N263" s="81"/>
    </row>
    <row r="264" spans="1:14" x14ac:dyDescent="0.25">
      <c r="A264" s="88"/>
      <c r="B264" s="89"/>
      <c r="C264" s="81"/>
      <c r="D264" s="81"/>
      <c r="E264" s="81"/>
      <c r="F264" s="81"/>
      <c r="G264" s="88"/>
      <c r="H264" s="81"/>
      <c r="I264" s="90"/>
      <c r="J264" s="81"/>
      <c r="K264" s="88"/>
      <c r="L264" s="91"/>
      <c r="M264" s="81"/>
      <c r="N264" s="81"/>
    </row>
    <row r="265" spans="1:14" x14ac:dyDescent="0.25">
      <c r="A265" s="88"/>
      <c r="B265" s="89"/>
      <c r="C265" s="81"/>
      <c r="D265" s="81"/>
      <c r="E265" s="81"/>
      <c r="F265" s="81"/>
      <c r="G265" s="88"/>
      <c r="H265" s="81"/>
      <c r="I265" s="90"/>
      <c r="J265" s="81"/>
      <c r="K265" s="88"/>
      <c r="L265" s="91"/>
      <c r="M265" s="81"/>
      <c r="N265" s="81"/>
    </row>
    <row r="266" spans="1:14" x14ac:dyDescent="0.25">
      <c r="A266" s="88"/>
      <c r="B266" s="89"/>
      <c r="C266" s="81"/>
      <c r="D266" s="81"/>
      <c r="E266" s="81"/>
      <c r="F266" s="81"/>
      <c r="G266" s="88"/>
      <c r="H266" s="81"/>
      <c r="I266" s="90"/>
      <c r="J266" s="81"/>
      <c r="K266" s="88"/>
      <c r="L266" s="91"/>
      <c r="M266" s="81"/>
      <c r="N266" s="81"/>
    </row>
    <row r="267" spans="1:14" x14ac:dyDescent="0.25">
      <c r="A267" s="88"/>
      <c r="B267" s="89"/>
      <c r="C267" s="81"/>
      <c r="D267" s="81"/>
      <c r="E267" s="81"/>
      <c r="F267" s="81"/>
      <c r="G267" s="88"/>
      <c r="H267" s="81"/>
      <c r="I267" s="90"/>
      <c r="J267" s="81"/>
      <c r="K267" s="88"/>
      <c r="L267" s="91"/>
      <c r="M267" s="81"/>
      <c r="N267" s="81"/>
    </row>
    <row r="268" spans="1:14" x14ac:dyDescent="0.25">
      <c r="A268" s="88"/>
      <c r="B268" s="89"/>
      <c r="C268" s="81"/>
      <c r="D268" s="81"/>
      <c r="E268" s="81"/>
      <c r="F268" s="81"/>
      <c r="G268" s="88"/>
      <c r="H268" s="81"/>
      <c r="I268" s="90"/>
      <c r="J268" s="81"/>
      <c r="K268" s="88"/>
      <c r="L268" s="91"/>
      <c r="M268" s="81"/>
      <c r="N268" s="81"/>
    </row>
    <row r="269" spans="1:14" x14ac:dyDescent="0.25">
      <c r="A269" s="88"/>
      <c r="B269" s="89"/>
      <c r="C269" s="81"/>
      <c r="D269" s="81"/>
      <c r="E269" s="81"/>
      <c r="F269" s="81"/>
      <c r="G269" s="88"/>
      <c r="H269" s="81"/>
      <c r="I269" s="90"/>
      <c r="J269" s="81"/>
      <c r="K269" s="88"/>
      <c r="L269" s="91"/>
      <c r="M269" s="81"/>
      <c r="N269" s="81"/>
    </row>
    <row r="270" spans="1:14" x14ac:dyDescent="0.25">
      <c r="A270" s="88"/>
      <c r="B270" s="89"/>
      <c r="C270" s="81"/>
      <c r="D270" s="81"/>
      <c r="E270" s="81"/>
      <c r="F270" s="81"/>
      <c r="G270" s="88"/>
      <c r="H270" s="81"/>
      <c r="I270" s="90"/>
      <c r="J270" s="81"/>
      <c r="K270" s="88"/>
      <c r="L270" s="91"/>
      <c r="M270" s="81"/>
      <c r="N270" s="81"/>
    </row>
    <row r="271" spans="1:14" x14ac:dyDescent="0.25">
      <c r="A271" s="88"/>
      <c r="B271" s="89"/>
      <c r="C271" s="81"/>
      <c r="D271" s="81"/>
      <c r="E271" s="81"/>
      <c r="F271" s="81"/>
      <c r="G271" s="88"/>
      <c r="H271" s="81"/>
      <c r="I271" s="90"/>
      <c r="J271" s="81"/>
      <c r="K271" s="88"/>
      <c r="L271" s="91"/>
      <c r="M271" s="81"/>
      <c r="N271" s="81"/>
    </row>
    <row r="272" spans="1:14" x14ac:dyDescent="0.25">
      <c r="A272" s="88"/>
      <c r="B272" s="89"/>
      <c r="C272" s="81"/>
      <c r="D272" s="81"/>
      <c r="E272" s="81"/>
      <c r="F272" s="81"/>
      <c r="G272" s="88"/>
      <c r="H272" s="81"/>
      <c r="I272" s="90"/>
      <c r="J272" s="81"/>
      <c r="K272" s="88"/>
      <c r="L272" s="91"/>
      <c r="M272" s="81"/>
      <c r="N272" s="81"/>
    </row>
    <row r="273" spans="1:14" x14ac:dyDescent="0.25">
      <c r="A273" s="88"/>
      <c r="B273" s="89"/>
      <c r="C273" s="81"/>
      <c r="D273" s="81"/>
      <c r="E273" s="81"/>
      <c r="F273" s="81"/>
      <c r="G273" s="88"/>
      <c r="H273" s="81"/>
      <c r="I273" s="90"/>
      <c r="J273" s="81"/>
      <c r="K273" s="88"/>
      <c r="L273" s="91"/>
      <c r="M273" s="81"/>
      <c r="N273" s="81"/>
    </row>
    <row r="274" spans="1:14" x14ac:dyDescent="0.25">
      <c r="A274" s="88"/>
      <c r="B274" s="89"/>
      <c r="C274" s="81"/>
      <c r="D274" s="81"/>
      <c r="E274" s="81"/>
      <c r="F274" s="81"/>
      <c r="G274" s="88"/>
      <c r="H274" s="81"/>
      <c r="I274" s="90"/>
      <c r="J274" s="81"/>
      <c r="K274" s="88"/>
      <c r="L274" s="91"/>
      <c r="M274" s="81"/>
      <c r="N274" s="81"/>
    </row>
    <row r="275" spans="1:14" x14ac:dyDescent="0.25">
      <c r="A275" s="88"/>
      <c r="B275" s="89"/>
      <c r="C275" s="81"/>
      <c r="D275" s="81"/>
      <c r="E275" s="81"/>
      <c r="F275" s="81"/>
      <c r="G275" s="88"/>
      <c r="H275" s="81"/>
      <c r="I275" s="90"/>
      <c r="J275" s="81"/>
      <c r="K275" s="88"/>
      <c r="L275" s="91"/>
      <c r="M275" s="81"/>
      <c r="N275" s="81"/>
    </row>
    <row r="276" spans="1:14" x14ac:dyDescent="0.25">
      <c r="A276" s="88"/>
      <c r="B276" s="89"/>
      <c r="C276" s="81"/>
      <c r="D276" s="81"/>
      <c r="E276" s="81"/>
      <c r="F276" s="81"/>
      <c r="G276" s="88"/>
      <c r="H276" s="81"/>
      <c r="I276" s="90"/>
      <c r="J276" s="81"/>
      <c r="K276" s="88"/>
      <c r="L276" s="91"/>
      <c r="M276" s="81"/>
      <c r="N276" s="81"/>
    </row>
    <row r="277" spans="1:14" x14ac:dyDescent="0.25">
      <c r="A277" s="88"/>
      <c r="B277" s="89"/>
      <c r="C277" s="81"/>
      <c r="D277" s="81"/>
      <c r="E277" s="81"/>
      <c r="F277" s="81"/>
      <c r="G277" s="88"/>
      <c r="H277" s="81"/>
      <c r="I277" s="90"/>
      <c r="J277" s="81"/>
      <c r="K277" s="88"/>
      <c r="L277" s="91"/>
      <c r="M277" s="81"/>
      <c r="N277" s="81"/>
    </row>
    <row r="278" spans="1:14" x14ac:dyDescent="0.25">
      <c r="A278" s="88"/>
      <c r="B278" s="89"/>
      <c r="C278" s="81"/>
      <c r="D278" s="81"/>
      <c r="E278" s="81"/>
      <c r="F278" s="81"/>
      <c r="G278" s="88"/>
      <c r="H278" s="81"/>
      <c r="I278" s="90"/>
      <c r="J278" s="81"/>
      <c r="K278" s="88"/>
      <c r="L278" s="91"/>
      <c r="M278" s="81"/>
      <c r="N278" s="81"/>
    </row>
    <row r="279" spans="1:14" x14ac:dyDescent="0.25">
      <c r="A279" s="88"/>
      <c r="B279" s="89"/>
      <c r="C279" s="81"/>
      <c r="D279" s="81"/>
      <c r="E279" s="81"/>
      <c r="F279" s="81"/>
      <c r="G279" s="88"/>
      <c r="H279" s="81"/>
      <c r="I279" s="90"/>
      <c r="J279" s="81"/>
      <c r="K279" s="88"/>
      <c r="L279" s="91"/>
      <c r="M279" s="81"/>
      <c r="N279" s="81"/>
    </row>
    <row r="280" spans="1:14" x14ac:dyDescent="0.25">
      <c r="A280" s="88"/>
      <c r="B280" s="89"/>
      <c r="C280" s="81"/>
      <c r="D280" s="81"/>
      <c r="E280" s="81"/>
      <c r="F280" s="81"/>
      <c r="G280" s="88"/>
      <c r="H280" s="81"/>
      <c r="I280" s="90"/>
      <c r="J280" s="81"/>
      <c r="K280" s="88"/>
      <c r="L280" s="91"/>
      <c r="M280" s="81"/>
      <c r="N280" s="81"/>
    </row>
    <row r="281" spans="1:14" x14ac:dyDescent="0.25">
      <c r="A281" s="88"/>
      <c r="B281" s="89"/>
      <c r="C281" s="81"/>
      <c r="D281" s="81"/>
      <c r="E281" s="81"/>
      <c r="F281" s="81"/>
      <c r="G281" s="88"/>
      <c r="H281" s="81"/>
      <c r="I281" s="90"/>
      <c r="J281" s="81"/>
      <c r="K281" s="88"/>
      <c r="L281" s="91"/>
      <c r="M281" s="81"/>
      <c r="N281" s="81"/>
    </row>
    <row r="282" spans="1:14" x14ac:dyDescent="0.25">
      <c r="A282" s="88"/>
      <c r="B282" s="89"/>
      <c r="C282" s="81"/>
      <c r="D282" s="81"/>
      <c r="E282" s="81"/>
      <c r="F282" s="81"/>
      <c r="G282" s="88"/>
      <c r="H282" s="81"/>
      <c r="I282" s="90"/>
      <c r="J282" s="81"/>
      <c r="K282" s="88"/>
      <c r="L282" s="91"/>
      <c r="M282" s="81"/>
      <c r="N282" s="81"/>
    </row>
    <row r="283" spans="1:14" x14ac:dyDescent="0.25">
      <c r="A283" s="88"/>
      <c r="B283" s="89"/>
      <c r="C283" s="81"/>
      <c r="D283" s="81"/>
      <c r="E283" s="81"/>
      <c r="F283" s="81"/>
      <c r="G283" s="88"/>
      <c r="H283" s="81"/>
      <c r="I283" s="90"/>
      <c r="J283" s="81"/>
      <c r="K283" s="88"/>
      <c r="L283" s="91"/>
      <c r="M283" s="81"/>
      <c r="N283" s="81"/>
    </row>
    <row r="284" spans="1:14" x14ac:dyDescent="0.25">
      <c r="A284" s="88"/>
      <c r="B284" s="89"/>
      <c r="C284" s="81"/>
      <c r="D284" s="81"/>
      <c r="E284" s="81"/>
      <c r="F284" s="81"/>
      <c r="G284" s="88"/>
      <c r="H284" s="81"/>
      <c r="I284" s="90"/>
      <c r="J284" s="81"/>
      <c r="K284" s="88"/>
      <c r="L284" s="91"/>
      <c r="M284" s="81"/>
      <c r="N284" s="81"/>
    </row>
    <row r="285" spans="1:14" x14ac:dyDescent="0.25">
      <c r="A285" s="88"/>
      <c r="B285" s="89"/>
      <c r="C285" s="81"/>
      <c r="D285" s="81"/>
      <c r="E285" s="81"/>
      <c r="F285" s="81"/>
      <c r="G285" s="88"/>
      <c r="H285" s="81"/>
      <c r="I285" s="90"/>
      <c r="J285" s="81"/>
      <c r="K285" s="88"/>
      <c r="L285" s="91"/>
      <c r="M285" s="81"/>
      <c r="N285" s="81"/>
    </row>
    <row r="286" spans="1:14" x14ac:dyDescent="0.25">
      <c r="A286" s="88"/>
      <c r="B286" s="89"/>
      <c r="C286" s="81"/>
      <c r="D286" s="81"/>
      <c r="E286" s="81"/>
      <c r="F286" s="81"/>
      <c r="G286" s="88"/>
      <c r="H286" s="81"/>
      <c r="I286" s="90"/>
      <c r="J286" s="81"/>
      <c r="K286" s="88"/>
      <c r="L286" s="91"/>
      <c r="M286" s="81"/>
      <c r="N286" s="81"/>
    </row>
    <row r="287" spans="1:14" x14ac:dyDescent="0.25">
      <c r="A287" s="88"/>
      <c r="B287" s="89"/>
      <c r="C287" s="81"/>
      <c r="D287" s="81"/>
      <c r="E287" s="81"/>
      <c r="F287" s="81"/>
      <c r="G287" s="88"/>
      <c r="H287" s="81"/>
      <c r="I287" s="90"/>
      <c r="J287" s="81"/>
      <c r="K287" s="88"/>
      <c r="L287" s="91"/>
      <c r="M287" s="81"/>
      <c r="N287" s="81"/>
    </row>
    <row r="288" spans="1:14" x14ac:dyDescent="0.25">
      <c r="A288" s="88"/>
      <c r="B288" s="89"/>
      <c r="C288" s="81"/>
      <c r="D288" s="81"/>
      <c r="E288" s="81"/>
      <c r="F288" s="81"/>
      <c r="G288" s="88"/>
      <c r="H288" s="81"/>
      <c r="I288" s="90"/>
      <c r="J288" s="81"/>
      <c r="K288" s="88"/>
      <c r="L288" s="91"/>
      <c r="M288" s="81"/>
      <c r="N288" s="81"/>
    </row>
    <row r="289" spans="1:14" x14ac:dyDescent="0.25">
      <c r="A289" s="88"/>
      <c r="B289" s="89"/>
      <c r="C289" s="81"/>
      <c r="D289" s="81"/>
      <c r="E289" s="81"/>
      <c r="F289" s="81"/>
      <c r="G289" s="88"/>
      <c r="H289" s="81"/>
      <c r="I289" s="90"/>
      <c r="J289" s="81"/>
      <c r="K289" s="88"/>
      <c r="L289" s="91"/>
      <c r="M289" s="81"/>
      <c r="N289" s="81"/>
    </row>
    <row r="290" spans="1:14" x14ac:dyDescent="0.25">
      <c r="A290" s="88"/>
      <c r="B290" s="89"/>
      <c r="C290" s="81"/>
      <c r="D290" s="81"/>
      <c r="E290" s="81"/>
      <c r="F290" s="81"/>
      <c r="G290" s="88"/>
      <c r="H290" s="81"/>
      <c r="I290" s="90"/>
      <c r="J290" s="81"/>
      <c r="K290" s="88"/>
      <c r="L290" s="91"/>
      <c r="M290" s="81"/>
      <c r="N290" s="81"/>
    </row>
    <row r="291" spans="1:14" x14ac:dyDescent="0.25">
      <c r="A291" s="88"/>
      <c r="B291" s="89"/>
      <c r="C291" s="81"/>
      <c r="D291" s="81"/>
      <c r="E291" s="81"/>
      <c r="F291" s="81"/>
      <c r="G291" s="88"/>
      <c r="H291" s="81"/>
      <c r="I291" s="90"/>
      <c r="J291" s="81"/>
      <c r="K291" s="88"/>
      <c r="L291" s="91"/>
      <c r="M291" s="81"/>
      <c r="N291" s="81"/>
    </row>
    <row r="292" spans="1:14" x14ac:dyDescent="0.25">
      <c r="A292" s="88"/>
      <c r="B292" s="89"/>
      <c r="C292" s="81"/>
      <c r="D292" s="81"/>
      <c r="E292" s="81"/>
      <c r="F292" s="81"/>
      <c r="G292" s="88"/>
      <c r="H292" s="81"/>
      <c r="I292" s="90"/>
      <c r="J292" s="81"/>
      <c r="K292" s="88"/>
      <c r="L292" s="91"/>
      <c r="M292" s="81"/>
      <c r="N292" s="81"/>
    </row>
    <row r="293" spans="1:14" x14ac:dyDescent="0.25">
      <c r="A293" s="88"/>
      <c r="B293" s="89"/>
      <c r="C293" s="81"/>
      <c r="D293" s="81"/>
      <c r="E293" s="81"/>
      <c r="F293" s="81"/>
      <c r="G293" s="88"/>
      <c r="H293" s="81"/>
      <c r="I293" s="90"/>
      <c r="J293" s="81"/>
      <c r="K293" s="88"/>
      <c r="L293" s="91"/>
      <c r="M293" s="81"/>
      <c r="N293" s="81"/>
    </row>
    <row r="294" spans="1:14" x14ac:dyDescent="0.25">
      <c r="A294" s="88"/>
      <c r="B294" s="89"/>
      <c r="C294" s="81"/>
      <c r="D294" s="81"/>
      <c r="E294" s="81"/>
      <c r="F294" s="81"/>
      <c r="G294" s="88"/>
      <c r="H294" s="81"/>
      <c r="I294" s="90"/>
      <c r="J294" s="81"/>
      <c r="K294" s="88"/>
      <c r="L294" s="91"/>
      <c r="M294" s="81"/>
      <c r="N294" s="81"/>
    </row>
    <row r="295" spans="1:14" x14ac:dyDescent="0.25">
      <c r="A295" s="88"/>
      <c r="B295" s="89"/>
      <c r="C295" s="81"/>
      <c r="D295" s="81"/>
      <c r="E295" s="81"/>
      <c r="F295" s="81"/>
      <c r="G295" s="88"/>
      <c r="H295" s="81"/>
      <c r="I295" s="90"/>
      <c r="J295" s="81"/>
      <c r="K295" s="88"/>
      <c r="L295" s="91"/>
      <c r="M295" s="81"/>
      <c r="N295" s="81"/>
    </row>
    <row r="296" spans="1:14" x14ac:dyDescent="0.25">
      <c r="A296" s="88"/>
      <c r="B296" s="89"/>
      <c r="C296" s="81"/>
      <c r="D296" s="81"/>
      <c r="E296" s="81"/>
      <c r="F296" s="81"/>
      <c r="G296" s="88"/>
      <c r="H296" s="81"/>
      <c r="I296" s="90"/>
      <c r="J296" s="81"/>
      <c r="K296" s="88"/>
      <c r="L296" s="91"/>
      <c r="M296" s="81"/>
      <c r="N296" s="81"/>
    </row>
    <row r="297" spans="1:14" x14ac:dyDescent="0.25">
      <c r="A297" s="88"/>
      <c r="B297" s="89"/>
      <c r="C297" s="81"/>
      <c r="D297" s="81"/>
      <c r="E297" s="81"/>
      <c r="F297" s="81"/>
      <c r="G297" s="88"/>
      <c r="H297" s="81"/>
      <c r="I297" s="90"/>
      <c r="J297" s="81"/>
      <c r="K297" s="88"/>
      <c r="L297" s="91"/>
      <c r="M297" s="81"/>
      <c r="N297" s="81"/>
    </row>
    <row r="298" spans="1:14" x14ac:dyDescent="0.25">
      <c r="A298" s="88"/>
      <c r="B298" s="89"/>
      <c r="C298" s="81"/>
      <c r="D298" s="81"/>
      <c r="E298" s="81"/>
      <c r="F298" s="81"/>
      <c r="G298" s="88"/>
      <c r="H298" s="81"/>
      <c r="I298" s="90"/>
      <c r="J298" s="81"/>
      <c r="K298" s="88"/>
      <c r="L298" s="91"/>
      <c r="M298" s="81"/>
      <c r="N298" s="81"/>
    </row>
    <row r="299" spans="1:14" x14ac:dyDescent="0.25">
      <c r="A299" s="88"/>
      <c r="B299" s="89"/>
      <c r="C299" s="81"/>
      <c r="D299" s="81"/>
      <c r="E299" s="81"/>
      <c r="F299" s="81"/>
      <c r="G299" s="88"/>
      <c r="H299" s="81"/>
      <c r="I299" s="90"/>
      <c r="J299" s="81"/>
      <c r="K299" s="88"/>
      <c r="L299" s="91"/>
      <c r="M299" s="81"/>
      <c r="N299" s="81"/>
    </row>
    <row r="300" spans="1:14" x14ac:dyDescent="0.25">
      <c r="A300" s="88"/>
      <c r="B300" s="89"/>
      <c r="C300" s="81"/>
      <c r="D300" s="81"/>
      <c r="E300" s="81"/>
      <c r="F300" s="81"/>
      <c r="G300" s="88"/>
      <c r="H300" s="81"/>
      <c r="I300" s="90"/>
      <c r="J300" s="81"/>
      <c r="K300" s="88"/>
      <c r="L300" s="91"/>
      <c r="M300" s="81"/>
      <c r="N300" s="81"/>
    </row>
    <row r="301" spans="1:14" x14ac:dyDescent="0.25">
      <c r="A301" s="88"/>
      <c r="B301" s="89"/>
      <c r="C301" s="81"/>
      <c r="D301" s="81"/>
      <c r="E301" s="81"/>
      <c r="F301" s="81"/>
      <c r="G301" s="88"/>
      <c r="H301" s="81"/>
      <c r="I301" s="90"/>
      <c r="J301" s="81"/>
      <c r="K301" s="88"/>
      <c r="L301" s="91"/>
      <c r="M301" s="81"/>
      <c r="N301" s="81"/>
    </row>
    <row r="302" spans="1:14" x14ac:dyDescent="0.25">
      <c r="A302" s="88"/>
      <c r="B302" s="89"/>
      <c r="C302" s="81"/>
      <c r="D302" s="81"/>
      <c r="E302" s="81"/>
      <c r="F302" s="81"/>
      <c r="G302" s="88"/>
      <c r="H302" s="81"/>
      <c r="I302" s="90"/>
      <c r="J302" s="81"/>
      <c r="K302" s="88"/>
      <c r="L302" s="91"/>
      <c r="M302" s="81"/>
      <c r="N302" s="81"/>
    </row>
    <row r="303" spans="1:14" x14ac:dyDescent="0.25">
      <c r="A303" s="88"/>
      <c r="B303" s="89"/>
      <c r="C303" s="81"/>
      <c r="D303" s="81"/>
      <c r="E303" s="81"/>
      <c r="F303" s="81"/>
      <c r="G303" s="88"/>
      <c r="H303" s="81"/>
      <c r="I303" s="90"/>
      <c r="J303" s="81"/>
      <c r="K303" s="88"/>
      <c r="L303" s="91"/>
      <c r="M303" s="81"/>
      <c r="N303" s="81"/>
    </row>
    <row r="304" spans="1:14" x14ac:dyDescent="0.25">
      <c r="A304" s="88"/>
      <c r="B304" s="89"/>
      <c r="C304" s="81"/>
      <c r="D304" s="81"/>
      <c r="E304" s="81"/>
      <c r="F304" s="81"/>
      <c r="G304" s="88"/>
      <c r="H304" s="81"/>
      <c r="I304" s="90"/>
      <c r="J304" s="81"/>
      <c r="K304" s="88"/>
      <c r="L304" s="91"/>
      <c r="M304" s="81"/>
      <c r="N304" s="81"/>
    </row>
    <row r="305" spans="1:14" x14ac:dyDescent="0.25">
      <c r="A305" s="88"/>
      <c r="B305" s="89"/>
      <c r="C305" s="81"/>
      <c r="D305" s="81"/>
      <c r="E305" s="81"/>
      <c r="F305" s="81"/>
      <c r="G305" s="88"/>
      <c r="H305" s="81"/>
      <c r="I305" s="90"/>
      <c r="J305" s="81"/>
      <c r="K305" s="88"/>
      <c r="L305" s="91"/>
      <c r="M305" s="81"/>
      <c r="N305" s="81"/>
    </row>
    <row r="306" spans="1:14" x14ac:dyDescent="0.25">
      <c r="A306" s="88"/>
      <c r="B306" s="89"/>
      <c r="C306" s="81"/>
      <c r="D306" s="81"/>
      <c r="E306" s="81"/>
      <c r="F306" s="81"/>
      <c r="G306" s="88"/>
      <c r="H306" s="81"/>
      <c r="I306" s="90"/>
      <c r="J306" s="81"/>
      <c r="K306" s="88"/>
      <c r="L306" s="91"/>
      <c r="M306" s="81"/>
      <c r="N306" s="81"/>
    </row>
    <row r="307" spans="1:14" x14ac:dyDescent="0.25">
      <c r="A307" s="88"/>
      <c r="B307" s="89"/>
      <c r="C307" s="81"/>
      <c r="D307" s="81"/>
      <c r="E307" s="81"/>
      <c r="F307" s="81"/>
      <c r="G307" s="88"/>
      <c r="H307" s="81"/>
      <c r="I307" s="90"/>
      <c r="J307" s="81"/>
      <c r="K307" s="88"/>
      <c r="L307" s="91"/>
      <c r="M307" s="81"/>
      <c r="N307" s="81"/>
    </row>
    <row r="308" spans="1:14" x14ac:dyDescent="0.25">
      <c r="A308" s="88"/>
      <c r="B308" s="89"/>
      <c r="C308" s="81"/>
      <c r="D308" s="81"/>
      <c r="E308" s="81"/>
      <c r="F308" s="81"/>
      <c r="G308" s="88"/>
      <c r="H308" s="81"/>
      <c r="I308" s="90"/>
      <c r="J308" s="81"/>
      <c r="K308" s="88"/>
      <c r="L308" s="91"/>
      <c r="M308" s="81"/>
      <c r="N308" s="81"/>
    </row>
    <row r="309" spans="1:14" x14ac:dyDescent="0.25">
      <c r="A309" s="88"/>
      <c r="B309" s="89"/>
      <c r="C309" s="81"/>
      <c r="D309" s="81"/>
      <c r="E309" s="81"/>
      <c r="F309" s="81"/>
      <c r="G309" s="88"/>
      <c r="H309" s="81"/>
      <c r="I309" s="90"/>
      <c r="J309" s="81"/>
      <c r="K309" s="88"/>
      <c r="L309" s="91"/>
      <c r="M309" s="81"/>
      <c r="N309" s="81"/>
    </row>
    <row r="310" spans="1:14" x14ac:dyDescent="0.25">
      <c r="A310" s="88"/>
      <c r="B310" s="89"/>
      <c r="C310" s="81"/>
      <c r="D310" s="81"/>
      <c r="E310" s="81"/>
      <c r="F310" s="81"/>
      <c r="G310" s="88"/>
      <c r="H310" s="81"/>
      <c r="I310" s="90"/>
      <c r="J310" s="81"/>
      <c r="K310" s="88"/>
      <c r="L310" s="91"/>
      <c r="M310" s="81"/>
      <c r="N310" s="81"/>
    </row>
    <row r="311" spans="1:14" x14ac:dyDescent="0.25">
      <c r="A311" s="88"/>
      <c r="B311" s="89"/>
      <c r="C311" s="81"/>
      <c r="D311" s="81"/>
      <c r="E311" s="81"/>
      <c r="F311" s="81"/>
      <c r="G311" s="88"/>
      <c r="H311" s="81"/>
      <c r="I311" s="90"/>
      <c r="J311" s="81"/>
      <c r="K311" s="88"/>
      <c r="L311" s="91"/>
      <c r="M311" s="81"/>
      <c r="N311" s="81"/>
    </row>
    <row r="312" spans="1:14" x14ac:dyDescent="0.25">
      <c r="A312" s="88"/>
      <c r="B312" s="89"/>
      <c r="C312" s="81"/>
      <c r="D312" s="81"/>
      <c r="E312" s="81"/>
      <c r="F312" s="81"/>
      <c r="G312" s="88"/>
      <c r="H312" s="81"/>
      <c r="I312" s="90"/>
      <c r="J312" s="81"/>
      <c r="K312" s="88"/>
      <c r="L312" s="91"/>
      <c r="M312" s="81"/>
      <c r="N312" s="81"/>
    </row>
    <row r="313" spans="1:14" x14ac:dyDescent="0.25">
      <c r="A313" s="88"/>
      <c r="B313" s="89"/>
      <c r="C313" s="81"/>
      <c r="D313" s="81"/>
      <c r="E313" s="81"/>
      <c r="F313" s="81"/>
      <c r="G313" s="88"/>
      <c r="H313" s="81"/>
      <c r="I313" s="90"/>
      <c r="J313" s="81"/>
      <c r="K313" s="88"/>
      <c r="L313" s="91"/>
      <c r="M313" s="81"/>
      <c r="N313" s="81"/>
    </row>
    <row r="314" spans="1:14" x14ac:dyDescent="0.25">
      <c r="A314" s="88"/>
      <c r="B314" s="89"/>
      <c r="C314" s="81"/>
      <c r="D314" s="81"/>
      <c r="E314" s="81"/>
      <c r="F314" s="81"/>
      <c r="G314" s="88"/>
      <c r="H314" s="81"/>
      <c r="I314" s="90"/>
      <c r="J314" s="81"/>
      <c r="K314" s="88"/>
      <c r="L314" s="91"/>
      <c r="M314" s="81"/>
      <c r="N314" s="81"/>
    </row>
    <row r="315" spans="1:14" x14ac:dyDescent="0.25">
      <c r="A315" s="88"/>
      <c r="B315" s="89"/>
      <c r="C315" s="81"/>
      <c r="D315" s="81"/>
      <c r="E315" s="81"/>
      <c r="F315" s="81"/>
      <c r="G315" s="88"/>
      <c r="H315" s="81"/>
      <c r="I315" s="90"/>
      <c r="J315" s="81"/>
      <c r="K315" s="88"/>
      <c r="L315" s="91"/>
      <c r="M315" s="81"/>
      <c r="N315" s="81"/>
    </row>
    <row r="316" spans="1:14" x14ac:dyDescent="0.25">
      <c r="A316" s="88"/>
      <c r="B316" s="89"/>
      <c r="C316" s="81"/>
      <c r="D316" s="81"/>
      <c r="E316" s="81"/>
      <c r="F316" s="81"/>
      <c r="G316" s="88"/>
      <c r="H316" s="81"/>
      <c r="I316" s="90"/>
      <c r="J316" s="81"/>
      <c r="K316" s="88"/>
      <c r="L316" s="91"/>
      <c r="M316" s="81"/>
      <c r="N316" s="81"/>
    </row>
    <row r="317" spans="1:14" x14ac:dyDescent="0.25">
      <c r="A317" s="88"/>
      <c r="B317" s="89"/>
      <c r="C317" s="81"/>
      <c r="D317" s="81"/>
      <c r="E317" s="81"/>
      <c r="F317" s="81"/>
      <c r="G317" s="88"/>
      <c r="H317" s="81"/>
      <c r="I317" s="90"/>
      <c r="J317" s="81"/>
      <c r="K317" s="88"/>
      <c r="L317" s="91"/>
      <c r="M317" s="81"/>
      <c r="N317" s="81"/>
    </row>
    <row r="318" spans="1:14" x14ac:dyDescent="0.25">
      <c r="A318" s="88"/>
      <c r="B318" s="89"/>
      <c r="C318" s="81"/>
      <c r="D318" s="81"/>
      <c r="E318" s="81"/>
      <c r="F318" s="81"/>
      <c r="G318" s="88"/>
      <c r="H318" s="81"/>
      <c r="I318" s="90"/>
      <c r="J318" s="81"/>
      <c r="K318" s="88"/>
      <c r="L318" s="91"/>
      <c r="M318" s="81"/>
      <c r="N318" s="81"/>
    </row>
    <row r="319" spans="1:14" x14ac:dyDescent="0.25">
      <c r="A319" s="88"/>
      <c r="B319" s="89"/>
      <c r="C319" s="81"/>
      <c r="D319" s="81"/>
      <c r="E319" s="81"/>
      <c r="F319" s="81"/>
      <c r="G319" s="88"/>
      <c r="H319" s="81"/>
      <c r="I319" s="90"/>
      <c r="J319" s="81"/>
      <c r="K319" s="88"/>
      <c r="L319" s="91"/>
      <c r="M319" s="81"/>
      <c r="N319" s="81"/>
    </row>
    <row r="320" spans="1:14" x14ac:dyDescent="0.25">
      <c r="A320" s="88"/>
      <c r="B320" s="89"/>
      <c r="C320" s="81"/>
      <c r="D320" s="81"/>
      <c r="E320" s="81"/>
      <c r="F320" s="81"/>
      <c r="G320" s="88"/>
      <c r="H320" s="81"/>
      <c r="I320" s="90"/>
      <c r="J320" s="81"/>
      <c r="K320" s="88"/>
      <c r="L320" s="91"/>
      <c r="M320" s="81"/>
      <c r="N320" s="81"/>
    </row>
    <row r="321" spans="1:14" x14ac:dyDescent="0.25">
      <c r="A321" s="88"/>
      <c r="B321" s="89"/>
      <c r="C321" s="81"/>
      <c r="D321" s="81"/>
      <c r="E321" s="81"/>
      <c r="F321" s="81"/>
      <c r="G321" s="88"/>
      <c r="H321" s="81"/>
      <c r="I321" s="90"/>
      <c r="J321" s="81"/>
      <c r="K321" s="88"/>
      <c r="L321" s="91"/>
      <c r="M321" s="81"/>
      <c r="N321" s="81"/>
    </row>
    <row r="322" spans="1:14" x14ac:dyDescent="0.25">
      <c r="A322" s="88"/>
      <c r="B322" s="89"/>
      <c r="C322" s="81"/>
      <c r="D322" s="81"/>
      <c r="E322" s="81"/>
      <c r="F322" s="81"/>
      <c r="G322" s="88"/>
      <c r="H322" s="81"/>
      <c r="I322" s="90"/>
      <c r="J322" s="81"/>
      <c r="K322" s="88"/>
      <c r="L322" s="91"/>
      <c r="M322" s="81"/>
      <c r="N322" s="81"/>
    </row>
    <row r="323" spans="1:14" x14ac:dyDescent="0.25">
      <c r="A323" s="88"/>
      <c r="B323" s="89"/>
      <c r="C323" s="81"/>
      <c r="D323" s="81"/>
      <c r="E323" s="81"/>
      <c r="F323" s="81"/>
      <c r="G323" s="88"/>
      <c r="H323" s="81"/>
      <c r="I323" s="90"/>
    </row>
    <row r="324" spans="1:14" x14ac:dyDescent="0.25">
      <c r="A324" s="88"/>
      <c r="B324" s="89"/>
      <c r="C324" s="81"/>
      <c r="D324" s="81"/>
      <c r="E324" s="81"/>
      <c r="F324" s="81"/>
      <c r="G324" s="88"/>
      <c r="H324" s="81"/>
      <c r="I324" s="90"/>
    </row>
    <row r="325" spans="1:14" x14ac:dyDescent="0.25">
      <c r="A325" s="88"/>
      <c r="B325" s="89"/>
      <c r="C325" s="81"/>
      <c r="D325" s="81"/>
      <c r="E325" s="81"/>
      <c r="F325" s="81"/>
      <c r="G325" s="88"/>
      <c r="H325" s="81"/>
      <c r="I325" s="90"/>
    </row>
    <row r="326" spans="1:14" x14ac:dyDescent="0.25">
      <c r="A326" s="88"/>
      <c r="B326" s="89"/>
      <c r="C326" s="81"/>
      <c r="D326" s="81"/>
      <c r="E326" s="81"/>
      <c r="F326" s="81"/>
      <c r="G326" s="88"/>
      <c r="H326" s="81"/>
      <c r="I326" s="90"/>
    </row>
    <row r="327" spans="1:14" x14ac:dyDescent="0.25">
      <c r="A327" s="88"/>
      <c r="B327" s="89"/>
      <c r="C327" s="81"/>
      <c r="D327" s="81"/>
      <c r="E327" s="81"/>
      <c r="F327" s="81"/>
      <c r="G327" s="88"/>
      <c r="H327" s="81"/>
      <c r="I327" s="90"/>
    </row>
    <row r="328" spans="1:14" x14ac:dyDescent="0.25">
      <c r="A328" s="88"/>
      <c r="B328" s="89"/>
      <c r="C328" s="81"/>
      <c r="D328" s="81"/>
      <c r="E328" s="81"/>
      <c r="F328" s="81"/>
      <c r="G328" s="88"/>
      <c r="H328" s="81"/>
      <c r="I328" s="90"/>
    </row>
    <row r="329" spans="1:14" x14ac:dyDescent="0.25">
      <c r="A329" s="88"/>
      <c r="B329" s="89"/>
      <c r="C329" s="81"/>
      <c r="D329" s="81"/>
      <c r="E329" s="81"/>
      <c r="F329" s="81"/>
      <c r="G329" s="88"/>
      <c r="H329" s="81"/>
      <c r="I329" s="90"/>
    </row>
    <row r="330" spans="1:14" x14ac:dyDescent="0.25">
      <c r="A330" s="88"/>
      <c r="B330" s="89"/>
      <c r="C330" s="81"/>
      <c r="D330" s="81"/>
      <c r="E330" s="81"/>
      <c r="F330" s="81"/>
      <c r="G330" s="88"/>
      <c r="H330" s="81"/>
      <c r="I330" s="90"/>
    </row>
    <row r="331" spans="1:14" x14ac:dyDescent="0.25">
      <c r="A331" s="88"/>
      <c r="B331" s="89"/>
      <c r="C331" s="81"/>
      <c r="D331" s="81"/>
      <c r="E331" s="81"/>
      <c r="F331" s="81"/>
      <c r="G331" s="88"/>
      <c r="H331" s="81"/>
      <c r="I331" s="90"/>
    </row>
    <row r="332" spans="1:14" x14ac:dyDescent="0.25">
      <c r="A332" s="88"/>
      <c r="B332" s="89"/>
      <c r="C332" s="81"/>
      <c r="D332" s="81"/>
      <c r="E332" s="81"/>
      <c r="F332" s="81"/>
      <c r="G332" s="88"/>
      <c r="H332" s="81"/>
      <c r="I332" s="90"/>
    </row>
    <row r="333" spans="1:14" x14ac:dyDescent="0.25">
      <c r="A333" s="88"/>
      <c r="B333" s="89"/>
      <c r="C333" s="81"/>
      <c r="D333" s="81"/>
      <c r="E333" s="81"/>
      <c r="F333" s="81"/>
      <c r="G333" s="88"/>
      <c r="H333" s="81"/>
      <c r="I333" s="90"/>
    </row>
    <row r="334" spans="1:14" x14ac:dyDescent="0.25">
      <c r="A334" s="88"/>
      <c r="B334" s="89"/>
      <c r="C334" s="81"/>
      <c r="D334" s="81"/>
      <c r="E334" s="81"/>
      <c r="F334" s="81"/>
      <c r="G334" s="88"/>
      <c r="H334" s="81"/>
      <c r="I334" s="90"/>
    </row>
    <row r="335" spans="1:14" x14ac:dyDescent="0.25">
      <c r="A335" s="88"/>
      <c r="B335" s="89"/>
      <c r="C335" s="81"/>
      <c r="D335" s="81"/>
      <c r="E335" s="81"/>
      <c r="F335" s="81"/>
      <c r="G335" s="88"/>
      <c r="H335" s="81"/>
      <c r="I335" s="90"/>
    </row>
    <row r="336" spans="1:14" x14ac:dyDescent="0.25">
      <c r="A336" s="88"/>
      <c r="B336" s="89"/>
      <c r="C336" s="81"/>
      <c r="D336" s="81"/>
      <c r="E336" s="81"/>
      <c r="F336" s="81"/>
      <c r="G336" s="88"/>
    </row>
    <row r="337" spans="1:7" x14ac:dyDescent="0.25">
      <c r="A337" s="88"/>
      <c r="B337" s="89"/>
      <c r="C337" s="81"/>
      <c r="D337" s="81"/>
      <c r="E337" s="81"/>
      <c r="F337" s="81"/>
      <c r="G337" s="88"/>
    </row>
    <row r="338" spans="1:7" x14ac:dyDescent="0.25">
      <c r="A338" s="88"/>
      <c r="B338" s="89"/>
      <c r="C338" s="81"/>
      <c r="D338" s="81"/>
      <c r="E338" s="81"/>
      <c r="F338" s="81"/>
      <c r="G338" s="88"/>
    </row>
  </sheetData>
  <mergeCells count="4">
    <mergeCell ref="A1:F2"/>
    <mergeCell ref="G1:H1"/>
    <mergeCell ref="I1:J1"/>
    <mergeCell ref="K1:M1"/>
  </mergeCells>
  <conditionalFormatting sqref="C1:C1048576">
    <cfRule type="duplicateValues" dxfId="3" priority="1"/>
  </conditionalFormatting>
  <conditionalFormatting sqref="G4:G338">
    <cfRule type="expression" dxfId="2" priority="2">
      <formula>AND(G4="",$A4&lt;&gt;"")</formula>
    </cfRule>
  </conditionalFormatting>
  <conditionalFormatting sqref="H4:I335">
    <cfRule type="expression" dxfId="1" priority="34">
      <formula>AND(H4="",$A7&lt;&gt;"")</formula>
    </cfRule>
  </conditionalFormatting>
  <conditionalFormatting sqref="J4:N322">
    <cfRule type="expression" dxfId="0" priority="37">
      <formula>AND(J4="",$A20&lt;&gt;"")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3</vt:i4>
      </vt:variant>
    </vt:vector>
  </HeadingPairs>
  <TitlesOfParts>
    <vt:vector size="8" baseType="lpstr">
      <vt:lpstr>KOMA board</vt:lpstr>
      <vt:lpstr>Данные</vt:lpstr>
      <vt:lpstr>ДКП БАЗ</vt:lpstr>
      <vt:lpstr>ДКП БАЗ (Временное расположени)</vt:lpstr>
      <vt:lpstr>Машины на заводе</vt:lpstr>
      <vt:lpstr>'KOMA board'!Область_печати</vt:lpstr>
      <vt:lpstr>'ДКП БАЗ'!Область_печати</vt:lpstr>
      <vt:lpstr>'ДКП БАЗ (Временное расположени)'!Область_печати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Дмитриев Андрей Алексеевич</dc:creator>
  <cp:lastModifiedBy>Юров Сергей Владимирович</cp:lastModifiedBy>
  <cp:lastPrinted>2025-05-14T06:02:42Z</cp:lastPrinted>
  <dcterms:created xsi:type="dcterms:W3CDTF">2015-06-05T18:19:34Z</dcterms:created>
  <dcterms:modified xsi:type="dcterms:W3CDTF">2025-07-01T13:11:35Z</dcterms:modified>
</cp:coreProperties>
</file>